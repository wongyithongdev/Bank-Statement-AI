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st Chin\OneDrive - MY365BIZ\CS MANAGEMENT - Documents\06 TEAM\07. Master Storage\2025 Account\Prist\2. Unfinalised\JURU JAYA TRADING (B) 2025\4. Supporting_Juru Jaya\"/>
    </mc:Choice>
  </mc:AlternateContent>
  <xr:revisionPtr revIDLastSave="0" documentId="13_ncr:1_{3666E801-164E-4C08-96FE-F2D02A277102}" xr6:coauthVersionLast="47" xr6:coauthVersionMax="47" xr10:uidLastSave="{00000000-0000-0000-0000-000000000000}"/>
  <bookViews>
    <workbookView xWindow="696" yWindow="0" windowWidth="11160" windowHeight="12336" firstSheet="4" activeTab="4" xr2:uid="{00000000-000D-0000-FFFF-FFFF00000000}"/>
  </bookViews>
  <sheets>
    <sheet name="General Ledger" sheetId="1" r:id="rId1"/>
    <sheet name="Monthly PL" sheetId="2" r:id="rId2"/>
    <sheet name="Chart of Accounts" sheetId="3" r:id="rId3"/>
    <sheet name="Supporting Docs" sheetId="4" r:id="rId4"/>
    <sheet name="By Payee &amp; Buy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</calcChain>
</file>

<file path=xl/sharedStrings.xml><?xml version="1.0" encoding="utf-8"?>
<sst xmlns="http://schemas.openxmlformats.org/spreadsheetml/2006/main" count="2744" uniqueCount="640">
  <si>
    <t>JURU JAYA TRADING   —   GENERAL LEDGER   (JAN – DEC 2025)</t>
  </si>
  <si>
    <t>Public Bank Berhad  |  Account No: 3167032603  |  Period: 01 Jan 2025 – 31 Dec 2025</t>
  </si>
  <si>
    <t>No.</t>
  </si>
  <si>
    <t>Date</t>
  </si>
  <si>
    <t>Month</t>
  </si>
  <si>
    <t>Description</t>
  </si>
  <si>
    <t>Payee / Payer</t>
  </si>
  <si>
    <t>Ref / Inv No.</t>
  </si>
  <si>
    <t>Account Code</t>
  </si>
  <si>
    <t>Account Name</t>
  </si>
  <si>
    <t>Debit (RM)</t>
  </si>
  <si>
    <t>Credit (RM)</t>
  </si>
  <si>
    <t>Balance (RM)</t>
  </si>
  <si>
    <t>0</t>
  </si>
  <si>
    <t>31/12/2024</t>
  </si>
  <si>
    <t>Dec-24</t>
  </si>
  <si>
    <t>OPENING BALANCE</t>
  </si>
  <si>
    <t>01/01/2025</t>
  </si>
  <si>
    <t>Jan-25</t>
  </si>
  <si>
    <t>Bank Loan Repayment</t>
  </si>
  <si>
    <t>Public Bank (Acct 2152917307)</t>
  </si>
  <si>
    <t>Auto Debit</t>
  </si>
  <si>
    <t>5100</t>
  </si>
  <si>
    <t>07/01/2025</t>
  </si>
  <si>
    <t>FFB Sales – Dec 2024</t>
  </si>
  <si>
    <t>Upmills SDN BHD</t>
  </si>
  <si>
    <t>12/24 FFB</t>
  </si>
  <si>
    <t>4100</t>
  </si>
  <si>
    <t>FFB Sales Revenue</t>
  </si>
  <si>
    <t>Director Drawings</t>
  </si>
  <si>
    <t>NG Chiet Mien</t>
  </si>
  <si>
    <t>TSFR 462851</t>
  </si>
  <si>
    <t>7100</t>
  </si>
  <si>
    <t>Director Drawings – NG Chiet Mien</t>
  </si>
  <si>
    <t>TSFR 328178</t>
  </si>
  <si>
    <t>EPF Contribution (KWSP)</t>
  </si>
  <si>
    <t>Kumpulan Wang Simpanan Pekerja</t>
  </si>
  <si>
    <t>DR-ECP 367203</t>
  </si>
  <si>
    <t>5400</t>
  </si>
  <si>
    <t>EPF Contribution</t>
  </si>
  <si>
    <t>SOCSO Contribution</t>
  </si>
  <si>
    <t>Pertubuhan Keselamatan Sosial</t>
  </si>
  <si>
    <t>DR-ECP 377114</t>
  </si>
  <si>
    <t>5410</t>
  </si>
  <si>
    <t>Wages – One-Off Bonus</t>
  </si>
  <si>
    <t>Kho Kian Siang</t>
  </si>
  <si>
    <t>TSFR 396776</t>
  </si>
  <si>
    <t>5300</t>
  </si>
  <si>
    <t>Wages &amp; Salaries</t>
  </si>
  <si>
    <t>Labour Wages – Dec Work</t>
  </si>
  <si>
    <t>Hashim Anak Chubing</t>
  </si>
  <si>
    <t>DUIT 752086</t>
  </si>
  <si>
    <t>08/01/2025</t>
  </si>
  <si>
    <t>Machinery Rental Income – Kubota (Jan)</t>
  </si>
  <si>
    <t>Sawit Jaya Contractor</t>
  </si>
  <si>
    <t>TSFR 386925</t>
  </si>
  <si>
    <t>4300</t>
  </si>
  <si>
    <t>Machinery Rental Income</t>
  </si>
  <si>
    <t>Sales Income</t>
  </si>
  <si>
    <t>INV 2458</t>
  </si>
  <si>
    <t>4400</t>
  </si>
  <si>
    <t>Other Sales Income</t>
  </si>
  <si>
    <t>10/01/2025</t>
  </si>
  <si>
    <t>Gereja Methodist Tudan M</t>
  </si>
  <si>
    <t>INV 2456</t>
  </si>
  <si>
    <t>TSFR 506469</t>
  </si>
  <si>
    <t>14/01/2025</t>
  </si>
  <si>
    <t>Bank Service Charge</t>
  </si>
  <si>
    <t>Public Bank</t>
  </si>
  <si>
    <t>Handling Chrg</t>
  </si>
  <si>
    <t>6000</t>
  </si>
  <si>
    <t>Bank Charges</t>
  </si>
  <si>
    <t>Hire Purchase Installment</t>
  </si>
  <si>
    <t>SI IBG Acct 26431700012954</t>
  </si>
  <si>
    <t>IBG 035</t>
  </si>
  <si>
    <t>5150</t>
  </si>
  <si>
    <t>TSFR 079001</t>
  </si>
  <si>
    <t>16/01/2025</t>
  </si>
  <si>
    <t>TSFR 779787</t>
  </si>
  <si>
    <t>TSFR 789313</t>
  </si>
  <si>
    <t>TSFR 969618</t>
  </si>
  <si>
    <t>24/01/2025</t>
  </si>
  <si>
    <t>Director Capital / Loan In</t>
  </si>
  <si>
    <t>TSFR 191808</t>
  </si>
  <si>
    <t>3100</t>
  </si>
  <si>
    <t>Director Loan / Capital</t>
  </si>
  <si>
    <t>TSFR 878061</t>
  </si>
  <si>
    <t>Labour Wages</t>
  </si>
  <si>
    <t>Sii Tung Hua</t>
  </si>
  <si>
    <t>DUIT 249976</t>
  </si>
  <si>
    <t>DUIT 287549</t>
  </si>
  <si>
    <t>Professional Fees – Clerical (YA2023)</t>
  </si>
  <si>
    <t>Yong &amp; Oh Tax Services (Bintulu) SDN BHD</t>
  </si>
  <si>
    <t>AS/THY/1103/24</t>
  </si>
  <si>
    <t>5500</t>
  </si>
  <si>
    <t>Professional Fees</t>
  </si>
  <si>
    <t>25/01/2025</t>
  </si>
  <si>
    <t>01/02/2025</t>
  </si>
  <si>
    <t>Feb-25</t>
  </si>
  <si>
    <t>03/02/2025</t>
  </si>
  <si>
    <t>TSFR 009394</t>
  </si>
  <si>
    <t>Land Rental – Kebun Saujana (Feb)</t>
  </si>
  <si>
    <t>Sellen Anak Dagang</t>
  </si>
  <si>
    <t>DUIT 078389</t>
  </si>
  <si>
    <t>5200</t>
  </si>
  <si>
    <t>Land Rental Expense</t>
  </si>
  <si>
    <t>04/02/2025</t>
  </si>
  <si>
    <t>Bank Rebate – SRF</t>
  </si>
  <si>
    <t>Public Bank (BKSS 2.0 SRF)</t>
  </si>
  <si>
    <t>BKSS 0105</t>
  </si>
  <si>
    <t>4500</t>
  </si>
  <si>
    <t>Miscellaneous Income</t>
  </si>
  <si>
    <t>13/02/2025</t>
  </si>
  <si>
    <t>TSFR 567433</t>
  </si>
  <si>
    <t>14/02/2025</t>
  </si>
  <si>
    <t>17/02/2025</t>
  </si>
  <si>
    <t>TSFR 044521</t>
  </si>
  <si>
    <t>20/02/2025</t>
  </si>
  <si>
    <t>Machinery Rental Income – Kubota (Feb)</t>
  </si>
  <si>
    <t>TSFR 129432</t>
  </si>
  <si>
    <t>TSFR 359567</t>
  </si>
  <si>
    <t>TSFR 913808</t>
  </si>
  <si>
    <t>25/02/2025</t>
  </si>
  <si>
    <t>01/03/2025</t>
  </si>
  <si>
    <t>Mar-25</t>
  </si>
  <si>
    <t>04/03/2025</t>
  </si>
  <si>
    <t>FFB Sales – Feb 2025</t>
  </si>
  <si>
    <t>02/25 FFB</t>
  </si>
  <si>
    <t>Huong Chiet Mien</t>
  </si>
  <si>
    <t>DUIT 233310</t>
  </si>
  <si>
    <t>TSFR 365296</t>
  </si>
  <si>
    <t>TSFR 383485</t>
  </si>
  <si>
    <t>05/03/2025</t>
  </si>
  <si>
    <t>DUIT 480324</t>
  </si>
  <si>
    <t>12/03/2025</t>
  </si>
  <si>
    <t>INV 1603</t>
  </si>
  <si>
    <t>13/03/2025</t>
  </si>
  <si>
    <t>BKSS 0106</t>
  </si>
  <si>
    <t>14/03/2025</t>
  </si>
  <si>
    <t>21/03/2025</t>
  </si>
  <si>
    <t>TSFR 767549</t>
  </si>
  <si>
    <t>Vehicle Repair / Parts</t>
  </si>
  <si>
    <t>Hii King Tong</t>
  </si>
  <si>
    <t>Inv 00610</t>
  </si>
  <si>
    <t>5600</t>
  </si>
  <si>
    <t>Vehicle Expenses</t>
  </si>
  <si>
    <t>23/03/2025</t>
  </si>
  <si>
    <t>Machinery Rental Income – Kubota (Mar)</t>
  </si>
  <si>
    <t>MAR KUBOTA 5720</t>
  </si>
  <si>
    <t>TSFR 442316</t>
  </si>
  <si>
    <t>25/03/2025</t>
  </si>
  <si>
    <t>Inv 00613</t>
  </si>
  <si>
    <t>01/04/2025</t>
  </si>
  <si>
    <t>Apr-25</t>
  </si>
  <si>
    <t>04/04/2025</t>
  </si>
  <si>
    <t>FFB Sales – Mar 2025</t>
  </si>
  <si>
    <t>03/25 FFB</t>
  </si>
  <si>
    <t>05/04/2025</t>
  </si>
  <si>
    <t>TSFR 191215</t>
  </si>
  <si>
    <t>Land Rental – Kebun Saujana (Apr)</t>
  </si>
  <si>
    <t>DUIT 241750</t>
  </si>
  <si>
    <t>DUIT 307967</t>
  </si>
  <si>
    <t>Other Payment</t>
  </si>
  <si>
    <t>Juru Jaya Trading (Internal)</t>
  </si>
  <si>
    <t>DUIT 361680</t>
  </si>
  <si>
    <t>6100</t>
  </si>
  <si>
    <t>Miscellaneous Expenses</t>
  </si>
  <si>
    <t>TSFR 384186</t>
  </si>
  <si>
    <t>08/04/2025</t>
  </si>
  <si>
    <t>Road Tax – QMV8821</t>
  </si>
  <si>
    <t>Lee Tung Kiu (Agent)</t>
  </si>
  <si>
    <t>QMV8821 ROADTAX</t>
  </si>
  <si>
    <t>5630</t>
  </si>
  <si>
    <t>Road Tax &amp; Insurance</t>
  </si>
  <si>
    <t>10/04/2025</t>
  </si>
  <si>
    <t>Sales Income – Lorry (QLA7547)</t>
  </si>
  <si>
    <t>QLA7547</t>
  </si>
  <si>
    <t>4200</t>
  </si>
  <si>
    <t>Lorry / Transport Income</t>
  </si>
  <si>
    <t>MAR KUBOTA 5702</t>
  </si>
  <si>
    <t>TSFR 008614</t>
  </si>
  <si>
    <t>Vehicle Repair – March</t>
  </si>
  <si>
    <t>JS Auto Services Centre</t>
  </si>
  <si>
    <t>MARCH REPAIR</t>
  </si>
  <si>
    <t>14/04/2025</t>
  </si>
  <si>
    <t>17/04/2025</t>
  </si>
  <si>
    <t>BKSS 0107</t>
  </si>
  <si>
    <t>21/04/2025</t>
  </si>
  <si>
    <t>TSFR 888534</t>
  </si>
  <si>
    <t>22/04/2025</t>
  </si>
  <si>
    <t>TSFR 315459</t>
  </si>
  <si>
    <t>23/04/2025</t>
  </si>
  <si>
    <t>TSFR 183956</t>
  </si>
  <si>
    <t>TSFR 196805</t>
  </si>
  <si>
    <t>25/04/2025</t>
  </si>
  <si>
    <t>Director Drawings – Personal</t>
  </si>
  <si>
    <t>DUIT 868345</t>
  </si>
  <si>
    <t>Motor Parts</t>
  </si>
  <si>
    <t>Hong Thai Motor Trading</t>
  </si>
  <si>
    <t>Inv 23971</t>
  </si>
  <si>
    <t>30/04/2025</t>
  </si>
  <si>
    <t>Income Tax – LHDN</t>
  </si>
  <si>
    <t>Tay Sok Hiang (Tax Agent)</t>
  </si>
  <si>
    <t>LHDN 2</t>
  </si>
  <si>
    <t>5800</t>
  </si>
  <si>
    <t>Income Tax (LHDN)</t>
  </si>
  <si>
    <t>TSFR 499885</t>
  </si>
  <si>
    <t>01/05/2025</t>
  </si>
  <si>
    <t>May-25</t>
  </si>
  <si>
    <t>07/05/2025</t>
  </si>
  <si>
    <t>Commission – Kancil Sale</t>
  </si>
  <si>
    <t>KANCIL COMMISSION</t>
  </si>
  <si>
    <t>Land Rental – Kebun Saujana (May)</t>
  </si>
  <si>
    <t>DUIT 913594</t>
  </si>
  <si>
    <t>Gawai Bonus – Staff</t>
  </si>
  <si>
    <t>DUIT 914135</t>
  </si>
  <si>
    <t>08/05/2025</t>
  </si>
  <si>
    <t>FFB Sales – Apr 2025</t>
  </si>
  <si>
    <t>04/25 FFB</t>
  </si>
  <si>
    <t>TSFR 647766</t>
  </si>
  <si>
    <t>09/05/2025</t>
  </si>
  <si>
    <t>Car Accessories</t>
  </si>
  <si>
    <t>Tun Sen Car Accessories Service</t>
  </si>
  <si>
    <t>CB 6102</t>
  </si>
  <si>
    <t>11/05/2025</t>
  </si>
  <si>
    <t>TSFR 633134</t>
  </si>
  <si>
    <t>Vehicle Purchase – Kancil QMJ7108 (Balance)</t>
  </si>
  <si>
    <t>Danny Tiong Siew Chiong</t>
  </si>
  <si>
    <t>KANCIL BALANCE</t>
  </si>
  <si>
    <t>1500</t>
  </si>
  <si>
    <t>Motor Vehicle – Kancil QMJ7108</t>
  </si>
  <si>
    <t>12/05/2025</t>
  </si>
  <si>
    <t>INV 1610</t>
  </si>
  <si>
    <t>INV 1611</t>
  </si>
  <si>
    <t>QCN 3321</t>
  </si>
  <si>
    <t>TSFR 169512</t>
  </si>
  <si>
    <t>TSFR 902535</t>
  </si>
  <si>
    <t>13/05/2025</t>
  </si>
  <si>
    <t>TSFR 514962</t>
  </si>
  <si>
    <t>Vehicle Repair</t>
  </si>
  <si>
    <t>27375 / 27377</t>
  </si>
  <si>
    <t>14/05/2025</t>
  </si>
  <si>
    <t>15/05/2025</t>
  </si>
  <si>
    <t>TSFR 403870</t>
  </si>
  <si>
    <t>TSFR 457086</t>
  </si>
  <si>
    <t>Road Work / Wayaring</t>
  </si>
  <si>
    <t>WAYARING 8821</t>
  </si>
  <si>
    <t>18/05/2025</t>
  </si>
  <si>
    <t>Vehicle Parts</t>
  </si>
  <si>
    <t>Inv 00639</t>
  </si>
  <si>
    <t>22/05/2025</t>
  </si>
  <si>
    <t>Telecommunications</t>
  </si>
  <si>
    <t>Axiata Digital Ecode SDN BHD</t>
  </si>
  <si>
    <t>DR-ECP 243767</t>
  </si>
  <si>
    <t>5900</t>
  </si>
  <si>
    <t>23/05/2025</t>
  </si>
  <si>
    <t>BKSS 0108</t>
  </si>
  <si>
    <t>24/05/2025</t>
  </si>
  <si>
    <t>TSFR 191138</t>
  </si>
  <si>
    <t>25/05/2025</t>
  </si>
  <si>
    <t>TSFR 260497</t>
  </si>
  <si>
    <t>Income Tax – LHDN 2023+24</t>
  </si>
  <si>
    <t>LHDN 2023+24-P1</t>
  </si>
  <si>
    <t>LHDN 23+24-P1</t>
  </si>
  <si>
    <t>Vehicle Insurance – QMJ7108 (Generali)</t>
  </si>
  <si>
    <t>INSURANCE QMJ7108</t>
  </si>
  <si>
    <t>27/05/2025</t>
  </si>
  <si>
    <t>TSFR 034372</t>
  </si>
  <si>
    <t>TSFR 129174</t>
  </si>
  <si>
    <t>CB 6150</t>
  </si>
  <si>
    <t>Road Tax – QS8821</t>
  </si>
  <si>
    <t>QS8821 ROADTAX</t>
  </si>
  <si>
    <t>01/06/2025</t>
  </si>
  <si>
    <t>Jun-25</t>
  </si>
  <si>
    <t>02/06/2025</t>
  </si>
  <si>
    <t>TSFR 045894</t>
  </si>
  <si>
    <t>06/06/2025</t>
  </si>
  <si>
    <t>FFB Sales – May 2025</t>
  </si>
  <si>
    <t>05/25 FFB</t>
  </si>
  <si>
    <t>07/06/2025</t>
  </si>
  <si>
    <t>Land Rental – Kebun Saujana (Jun)</t>
  </si>
  <si>
    <t>DUIT 042808</t>
  </si>
  <si>
    <t>TSFR 874880</t>
  </si>
  <si>
    <t>09/06/2025</t>
  </si>
  <si>
    <t>TSFR 107049</t>
  </si>
  <si>
    <t>10/06/2025</t>
  </si>
  <si>
    <t>TSFR 159942</t>
  </si>
  <si>
    <t>14/06/2025</t>
  </si>
  <si>
    <t>19/06/2025</t>
  </si>
  <si>
    <t>Vehicle Service – Toyota Fortuner</t>
  </si>
  <si>
    <t>Inv 05864</t>
  </si>
  <si>
    <t>25/06/2025</t>
  </si>
  <si>
    <t>30/06/2025</t>
  </si>
  <si>
    <t>TSFR 940109</t>
  </si>
  <si>
    <t>TSFR 955512</t>
  </si>
  <si>
    <t>01/07/2025</t>
  </si>
  <si>
    <t>Jul-25</t>
  </si>
  <si>
    <t>04/07/2025</t>
  </si>
  <si>
    <t>FFB Sales – Jun 2025</t>
  </si>
  <si>
    <t>06/25 FFB</t>
  </si>
  <si>
    <t>TSFR 259178</t>
  </si>
  <si>
    <t>Land Rental – Kebun Saujana (Jul)</t>
  </si>
  <si>
    <t>DUIT 337814</t>
  </si>
  <si>
    <t>05/07/2025</t>
  </si>
  <si>
    <t>TSFR 701279</t>
  </si>
  <si>
    <t>TSFR 852813</t>
  </si>
  <si>
    <t>09/07/2025</t>
  </si>
  <si>
    <t>CB 3114</t>
  </si>
  <si>
    <t>10/07/2025</t>
  </si>
  <si>
    <t>TSFR 031464</t>
  </si>
  <si>
    <t>INV 1618</t>
  </si>
  <si>
    <t>11/07/2025</t>
  </si>
  <si>
    <t>Professional Fees – Clerical (YA2024)</t>
  </si>
  <si>
    <t>AS/THY/0810/25</t>
  </si>
  <si>
    <t>Subcontractor / Services</t>
  </si>
  <si>
    <t>Sawit Suai Jaya SDN BHD</t>
  </si>
  <si>
    <t>AMOUNT DUE</t>
  </si>
  <si>
    <t>5550</t>
  </si>
  <si>
    <t>Subcontractor Costs</t>
  </si>
  <si>
    <t>12/07/2025</t>
  </si>
  <si>
    <t>TSFR 065661</t>
  </si>
  <si>
    <t>TSFR 958069</t>
  </si>
  <si>
    <t>14/07/2025</t>
  </si>
  <si>
    <t>22/07/2025</t>
  </si>
  <si>
    <t>TSFR 599671</t>
  </si>
  <si>
    <t>25/07/2025</t>
  </si>
  <si>
    <t>31/07/2025</t>
  </si>
  <si>
    <t>TSFR 687156</t>
  </si>
  <si>
    <t>01/08/2025</t>
  </si>
  <si>
    <t>Aug-25</t>
  </si>
  <si>
    <t>06/08/2025</t>
  </si>
  <si>
    <t>TSFR 818590</t>
  </si>
  <si>
    <t>Land Rental – Kebun Saujana (Aug)</t>
  </si>
  <si>
    <t>DUIT 310512</t>
  </si>
  <si>
    <t>07/08/2025</t>
  </si>
  <si>
    <t>Misc Income – Petty Cash Return</t>
  </si>
  <si>
    <t>JUL LEONG PETTY</t>
  </si>
  <si>
    <t>FFB Sales – Jul 2025</t>
  </si>
  <si>
    <t>07/25 FFB</t>
  </si>
  <si>
    <t>08/08/2025</t>
  </si>
  <si>
    <t>INV 1620</t>
  </si>
  <si>
    <t>14/08/2025</t>
  </si>
  <si>
    <t>25/08/2025</t>
  </si>
  <si>
    <t>TSFR 705842</t>
  </si>
  <si>
    <t>31/08/2025</t>
  </si>
  <si>
    <t>TSFR 273993</t>
  </si>
  <si>
    <t>01/09/2025</t>
  </si>
  <si>
    <t>Sep-25</t>
  </si>
  <si>
    <t>INV 1623</t>
  </si>
  <si>
    <t>TSFR 259831</t>
  </si>
  <si>
    <t>04/09/2025</t>
  </si>
  <si>
    <t>FFB Sales – Aug 2025</t>
  </si>
  <si>
    <t>08/25 FFB</t>
  </si>
  <si>
    <t>05/09/2025</t>
  </si>
  <si>
    <t>TSFR 053031</t>
  </si>
  <si>
    <t>TSFR 064405</t>
  </si>
  <si>
    <t>Land Rental – Kebun Saujana (Sep)</t>
  </si>
  <si>
    <t>DUIT 536854</t>
  </si>
  <si>
    <t>10/09/2025</t>
  </si>
  <si>
    <t>Tyre &amp; Battery</t>
  </si>
  <si>
    <t>Hiap Thai Tyre &amp; Battery Co.</t>
  </si>
  <si>
    <t>INV 2509/072</t>
  </si>
  <si>
    <t>14/09/2025</t>
  </si>
  <si>
    <t>QCN 3321 LORRY</t>
  </si>
  <si>
    <t>25/09/2025</t>
  </si>
  <si>
    <t>29/09/2025</t>
  </si>
  <si>
    <t>TSFR 752313</t>
  </si>
  <si>
    <t>01/10/2025</t>
  </si>
  <si>
    <t>Oct-25</t>
  </si>
  <si>
    <t>06/10/2025</t>
  </si>
  <si>
    <t>FFB Sales – Sep 2025</t>
  </si>
  <si>
    <t>09/25 FFB</t>
  </si>
  <si>
    <t>INV 109707</t>
  </si>
  <si>
    <t>TSFR 818735</t>
  </si>
  <si>
    <t>Land Rental – Kebun Saujana (Oct)</t>
  </si>
  <si>
    <t>DUIT 849674</t>
  </si>
  <si>
    <t>08/10/2025</t>
  </si>
  <si>
    <t>INV 1627</t>
  </si>
  <si>
    <t>10/10/2025</t>
  </si>
  <si>
    <t>INV 1628</t>
  </si>
  <si>
    <t>14/10/2025</t>
  </si>
  <si>
    <t>22/10/2025</t>
  </si>
  <si>
    <t>TSFR 129723</t>
  </si>
  <si>
    <t>25/10/2025</t>
  </si>
  <si>
    <t>TSFR 910248</t>
  </si>
  <si>
    <t>01/11/2025</t>
  </si>
  <si>
    <t>Nov-25</t>
  </si>
  <si>
    <t>FFB Sales – Oct 2025 (Antau Ramp)</t>
  </si>
  <si>
    <t>OCT FFB ANTAU RAMP</t>
  </si>
  <si>
    <t>4110</t>
  </si>
  <si>
    <t>FFB Sales – Antau Ramp</t>
  </si>
  <si>
    <t>05/11/2025</t>
  </si>
  <si>
    <t>Land Rental – Kebun Saujana (Nov)</t>
  </si>
  <si>
    <t>DUIT 352777</t>
  </si>
  <si>
    <t>06/11/2025</t>
  </si>
  <si>
    <t>FFB Sales – Oct 2025</t>
  </si>
  <si>
    <t>10/25 FFB</t>
  </si>
  <si>
    <t>TSFR 542560</t>
  </si>
  <si>
    <t>10/11/2025</t>
  </si>
  <si>
    <t>Agricultural Supplies</t>
  </si>
  <si>
    <t>Agro Niah SDN BHD</t>
  </si>
  <si>
    <t>S12509-0150</t>
  </si>
  <si>
    <t>5700</t>
  </si>
  <si>
    <t>13/11/2025</t>
  </si>
  <si>
    <t>INV 3189</t>
  </si>
  <si>
    <t>14/11/2025</t>
  </si>
  <si>
    <t>22/11/2025</t>
  </si>
  <si>
    <t>TSFR 199973</t>
  </si>
  <si>
    <t>25/11/2025</t>
  </si>
  <si>
    <t>30/11/2025</t>
  </si>
  <si>
    <t>TSFR 322459</t>
  </si>
  <si>
    <t>01/12/2025</t>
  </si>
  <si>
    <t>Dec-25</t>
  </si>
  <si>
    <t>TSFR 281218</t>
  </si>
  <si>
    <t>05/12/2025</t>
  </si>
  <si>
    <t>FFB Sales – Nov 2025</t>
  </si>
  <si>
    <t>11/25 FFB</t>
  </si>
  <si>
    <t>06/12/2025</t>
  </si>
  <si>
    <t>Land Rental – Kebun Saujana (Dec)</t>
  </si>
  <si>
    <t>DUIT 459372</t>
  </si>
  <si>
    <t>TSFR 739891</t>
  </si>
  <si>
    <t>07/12/2025</t>
  </si>
  <si>
    <t>TSFR 473006</t>
  </si>
  <si>
    <t>10/12/2025</t>
  </si>
  <si>
    <t>TSFR 106790</t>
  </si>
  <si>
    <t>13/12/2025</t>
  </si>
  <si>
    <t>INV 1631</t>
  </si>
  <si>
    <t>14/12/2025</t>
  </si>
  <si>
    <t>17/12/2025</t>
  </si>
  <si>
    <t>INV 3204 / INV 3196</t>
  </si>
  <si>
    <t>25/12/2025</t>
  </si>
  <si>
    <t>TOTAL / CLOSING BALANCE  (31 Dec 2025)</t>
  </si>
  <si>
    <t>JURU JAYA TRADING  —  MONTHLY INCOME &amp; EXPENSE SUMMARY  (JAN – DEC 2025)</t>
  </si>
  <si>
    <t>Source: Public Bank Statement Acct 3167032603  |  Supporting Documents: Upmills, Yong &amp; Oh, Generali Insurance, JPJ Road Tax</t>
  </si>
  <si>
    <t>Account /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</si>
  <si>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</si>
  <si>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</si>
  <si>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</si>
  <si>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</si>
  <si>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</si>
  <si>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</si>
  <si>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</si>
  <si>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</si>
  <si>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</si>
  <si>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</si>
  <si>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</si>
  <si>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</si>
  <si>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</si>
  <si>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INCOME</t>
  </si>
  <si>
    <t>4100  FFB Sales – Upmills</t>
  </si>
  <si>
    <t>4110  FFB Sales – Antau Ramp</t>
  </si>
  <si>
    <t>4200  Lorry / Transport Income</t>
  </si>
  <si>
    <t>4300  Machinery Rental Income</t>
  </si>
  <si>
    <t>4400  Other Sales Income</t>
  </si>
  <si>
    <t>4500  Miscellaneous Income</t>
  </si>
  <si>
    <t>TOTAL INCOME</t>
  </si>
  <si>
    <t>EXPENSES</t>
  </si>
  <si>
    <t>5100  Bank Loan Repayment</t>
  </si>
  <si>
    <t>5150  Hire Purchase Installment</t>
  </si>
  <si>
    <t>5200  Land Rental</t>
  </si>
  <si>
    <t>5300  Wages &amp; Salaries</t>
  </si>
  <si>
    <t>5400  EPF Contribution</t>
  </si>
  <si>
    <t>5410  SOCSO Contribution</t>
  </si>
  <si>
    <t>5500  Professional Fees</t>
  </si>
  <si>
    <t>5550  Subcontractor Costs</t>
  </si>
  <si>
    <t>5600  Vehicle Expenses</t>
  </si>
  <si>
    <t>5630  Road Tax &amp; Insurance</t>
  </si>
  <si>
    <t>5700  Agricultural Supplies</t>
  </si>
  <si>
    <t>5800  Income Tax (LHDN)</t>
  </si>
  <si>
    <t>5900  Telecommunications</t>
  </si>
  <si>
    <t>6000  Bank Charges</t>
  </si>
  <si>
    <t>6100  Miscellaneous Expenses</t>
  </si>
  <si>
    <t>TOTAL EXPENSES</t>
  </si>
  <si>
    <t>1500  Motor Vehicle (Asset)</t>
  </si>
  <si>
    <t>7100  Director Drawings (Net)</t>
  </si>
  <si>
    <t>3100  Director Loan / Capital (Net)</t>
  </si>
  <si>
    <t>NET PROFIT / (LOSS)</t>
  </si>
  <si>
    <t>BANK BALANCE</t>
  </si>
  <si>
    <t>JURU JAYA TRADING  —  CHART OF ACCOUNTS</t>
  </si>
  <si>
    <t>Code</t>
  </si>
  <si>
    <t>Type</t>
  </si>
  <si>
    <t>Normal Balance</t>
  </si>
  <si>
    <t>Notes</t>
  </si>
  <si>
    <t>ASSETS</t>
  </si>
  <si>
    <t>1100</t>
  </si>
  <si>
    <t>Bank – Public Bank 3167032603</t>
  </si>
  <si>
    <t>Asset</t>
  </si>
  <si>
    <t>Debit</t>
  </si>
  <si>
    <t>Current Account – RM Plus Current Account</t>
  </si>
  <si>
    <t>Perodua Kancil 850 EZ Auto 2005 | Reg: QMJ7108 | Cost: RM10,000 (RM4,000 TSC + RM6,000 Danny Tiong balance)</t>
  </si>
  <si>
    <t>FFB Sales Revenue – Upmills</t>
  </si>
  <si>
    <t>Income</t>
  </si>
  <si>
    <t>Credit</t>
  </si>
  <si>
    <t>Fresh Fruit Bunch sales to Upmills SDN BHD; payment received monthly (prior month FFB)</t>
  </si>
  <si>
    <t>FFB sales via Antau Ramp (received via Huong Chiet Mien Nov 2025)</t>
  </si>
  <si>
    <t>Transport/lorry hire income from Sawit Jaya Contractor (QCN 3321, QLA7547)</t>
  </si>
  <si>
    <t>Kubota tractor monthly rental from Sawit Jaya Contractor</t>
  </si>
  <si>
    <t>Miscellaneous sales (Gereja Methodist Tudan M, Sawit Jaya Contractor invoices)</t>
  </si>
  <si>
    <t>Bank SRF rebates; petty cash returns</t>
  </si>
  <si>
    <t>Expense</t>
  </si>
  <si>
    <t>Monthly RM930 auto-debit to Public Bank Loan Acct 2152917307</t>
  </si>
  <si>
    <t>Bi-monthly IBG to Acct 26431700012954: ~RM1,561 (14th) &amp; ~RM1,962 (25th)</t>
  </si>
  <si>
    <t>Monthly rent to Sellen Anak Dagang for Kebun Saujana (Sahua Estate, 61km Bintulu/Miri). Rate linked to FFB ramp price per Agreement dated 15 Dec 2024</t>
  </si>
  <si>
    <t>Labour wages (Sii Tung Hua, Hashim Anak Chubing), bonuses (KHO KIAN SIANG), Gawai bonus</t>
  </si>
  <si>
    <t>Employees Provident Fund statutory contribution</t>
  </si>
  <si>
    <t>Social Security Organisation statutory contribution</t>
  </si>
  <si>
    <t>Clerical/tax fees to Yong &amp; Oh Tax Services (Bintulu) SDN BHD (Bill AS/THY/1103/24 &amp; AS/THY/0810/25; RM4,482 each)</t>
  </si>
  <si>
    <t>Payments to Sawit Suai Jaya SDN BHD for contracted services</t>
  </si>
  <si>
    <t>Repairs, maintenance, parts (JS Auto, Hii King Tong, Danny Tiong, Tun Sen, Hiap Thai, Hong Thai Motor)</t>
  </si>
  <si>
    <t>Road tax (QMV8821 RM823.80, QS8821 RM1,428) &amp; insurance (QMJ7108 Generali RM237.74)</t>
  </si>
  <si>
    <t>Farm inputs and supplies (Agro Niah SDN BHD)</t>
  </si>
  <si>
    <t>Income tax payments via Tax Agent Tay Sok Hiang</t>
  </si>
  <si>
    <t>Mobile/data plan (Axiata Digital Ecode SDN BHD)</t>
  </si>
  <si>
    <t>Public Bank handling charges &amp; IBG service fees (RM5.30 per transaction)</t>
  </si>
  <si>
    <t>Other miscellaneous payments</t>
  </si>
  <si>
    <t>EQUITY / DIRECTOR ACCOUNTS</t>
  </si>
  <si>
    <t>Director Loan / Capital (In)</t>
  </si>
  <si>
    <t>Equity</t>
  </si>
  <si>
    <t>Funds transferred INTO company account by NG Chiet Mien (capital injection / loans to company)</t>
  </si>
  <si>
    <t>Director Drawings (Out)</t>
  </si>
  <si>
    <t>Funds transferred OUT of company account to NG Chiet Mien / Huong Chiet Mien (drawings / personal expenses)</t>
  </si>
  <si>
    <t>JURU JAYA TRADING  —  SUPPORTING DOCUMENTS SUMMARY</t>
  </si>
  <si>
    <t>Document</t>
  </si>
  <si>
    <t>Supplier / Party</t>
  </si>
  <si>
    <t>Amount (RM)</t>
  </si>
  <si>
    <t>Matched Bank Payment</t>
  </si>
  <si>
    <t>Juru Jaya 1621 – Upmills Invoice</t>
  </si>
  <si>
    <t>Juru Jaya Trading → Upmills SDN BHD</t>
  </si>
  <si>
    <t>Jun 2025</t>
  </si>
  <si>
    <t>(see bank CR)</t>
  </si>
  <si>
    <t>05/12/2025 CR RM12,748.77</t>
  </si>
  <si>
    <t>FFB Sales Invoice No. 1621. Juru Jaya sells FFB to Upmills; payment received next month</t>
  </si>
  <si>
    <t>Legal &amp; Professional Fee</t>
  </si>
  <si>
    <t>03 Jul 2025</t>
  </si>
  <si>
    <t>4,482.00</t>
  </si>
  <si>
    <t>11/07/2025 DR RM4,482.00</t>
  </si>
  <si>
    <t>Bill No. AS/THY/0810/25. Clerical fee YA2024: RM4,150 + 8% SST RM332 = RM4,482</t>
  </si>
  <si>
    <t>L&amp;P Clerical Fee (YA2023)</t>
  </si>
  <si>
    <t>Jan 2025</t>
  </si>
  <si>
    <t>24/01/2025 DR RM4,482.00</t>
  </si>
  <si>
    <t>Bill No. AS/THY/1103/24. Previous year clerical fee also RM4,482</t>
  </si>
  <si>
    <t>MV Insurance – Kancil QMJ7108</t>
  </si>
  <si>
    <t>Generali Insurance Malaysia Berhad</t>
  </si>
  <si>
    <t>25 May 2025</t>
  </si>
  <si>
    <t>237.74</t>
  </si>
  <si>
    <t>25/05/2025 DR RM237.74</t>
  </si>
  <si>
    <t>Policy VB733626. Third Party Fire &amp; Theft. Period: 25/05/2025–24/05/2026. Premium RM203.37 + 8% SST RM16.87 + Stamp Duty RM10 = RM237.74</t>
  </si>
  <si>
    <t>MV Insurance – Hilux QMP7381</t>
  </si>
  <si>
    <t>MSIG Insurance (Malaysia) BHD</t>
  </si>
  <si>
    <t>Apr 2025</t>
  </si>
  <si>
    <t>670.60</t>
  </si>
  <si>
    <t>Not directly matched – paid via agent</t>
  </si>
  <si>
    <t>Policy MR-84859722-MPC (Endorsement 3). Toyota Hilux 2.5MT 2015. Period extended to 23/04/2026. Amount Due RM670.60</t>
  </si>
  <si>
    <t>MV Insurance – QMV8821 (Sportivo)</t>
  </si>
  <si>
    <t>Liberty Insurance Berhad</t>
  </si>
  <si>
    <t>2025</t>
  </si>
  <si>
    <t>Not directly matched</t>
  </si>
  <si>
    <t>Comprehensive cover for TRD Sportivo KUN50R 2015. Premium ~RM611.45</t>
  </si>
  <si>
    <t>Jabatan Pengangkutan Jalan Malaysia</t>
  </si>
  <si>
    <t>07 Apr 2025</t>
  </si>
  <si>
    <t>230.20</t>
  </si>
  <si>
    <t>08/04/2025 DR RM823.80 (via Lee Tung Kiu)</t>
  </si>
  <si>
    <t>JPJ Receipt 011329165A19879. Road Tax QMV8821: 27/04/2025–26/04/2026. RM230.20 (balance of RM823.80 may include insurance)</t>
  </si>
  <si>
    <t>27 May 2025</t>
  </si>
  <si>
    <t>1,428.00</t>
  </si>
  <si>
    <t>27/05/2025 DR RM1,428.00</t>
  </si>
  <si>
    <t>Road tax renewal for QS8821 paid via agent</t>
  </si>
  <si>
    <t>MV Receipt – Kancil QMJ7108</t>
  </si>
  <si>
    <t>TSC Services, Miri</t>
  </si>
  <si>
    <t>4,000.00</t>
  </si>
  <si>
    <t>See 11/05/2025 Danny Tiong RM6,000 balance</t>
  </si>
  <si>
    <t>TSC receipt Men No. 3097: 1 unit used Kancil QMJ7108 RM4,000. Total vehicle cost RM10,000 (RM4,000 + RM6,000 balance)</t>
  </si>
  <si>
    <t>Land Rental Agreement – Kebun Saujana</t>
  </si>
  <si>
    <t>15 Dec 2024</t>
  </si>
  <si>
    <t>Variable</t>
  </si>
  <si>
    <t>Monthly DuitNow to Sellen Anak Dagang</t>
  </si>
  <si>
    <t>Sahua Estate, 61km Jalan Coastal Bintulu/Miri. Rent based on FFB ramp price: RM2,000 (&gt;RM450/t) to RM10,000 (&gt;RM1,250/t). Signed Huong Chiet Mien</t>
  </si>
  <si>
    <t>JURU JAYA TRADING   —   BANK TRANSACTIONS BY PAYER &amp; PAYEE (JAN – DEC 2025)</t>
  </si>
  <si>
    <t>▶  SECTION 1 :  BUYERS / PAYERS  (RECEIPTS — CREDITS)</t>
  </si>
  <si>
    <t xml:space="preserve">  Upmills SDN BHD  (11 transactions)</t>
  </si>
  <si>
    <t>Subtotal — Upmills SDN BHD</t>
  </si>
  <si>
    <t xml:space="preserve">  Sawit Jaya Contractor  (21 transactions)</t>
  </si>
  <si>
    <t>Subtotal — Sawit Jaya Contractor</t>
  </si>
  <si>
    <t xml:space="preserve">  NG Chiet Mien  (16 transactions)</t>
  </si>
  <si>
    <t>Subtotal — NG Chiet Mien</t>
  </si>
  <si>
    <t xml:space="preserve">  Huong Chiet Mien  (1 transaction)</t>
  </si>
  <si>
    <t>Subtotal — Huong Chiet Mien</t>
  </si>
  <si>
    <t xml:space="preserve">  Gereja Methodist Tudan M  (2 transactions)</t>
  </si>
  <si>
    <t>Subtotal — Gereja Methodist Tudan M</t>
  </si>
  <si>
    <t xml:space="preserve">  Sawit Suai Jaya SDN BHD  (1 transaction)</t>
  </si>
  <si>
    <t>Subtotal — Sawit Suai Jaya SDN BHD</t>
  </si>
  <si>
    <t xml:space="preserve">  Public Bank (BKSS 2.0 SRF)  (4 transactions)</t>
  </si>
  <si>
    <t>Subtotal — Public Bank (BKSS 2.0 SRF)</t>
  </si>
  <si>
    <t>TOTAL RECEIPTS (CREDITS)</t>
  </si>
  <si>
    <t>▶  SECTION 2 :  PAYEES  (PAYMENTS — DEBITS)</t>
  </si>
  <si>
    <t xml:space="preserve">  NG Chiet Mien  (52 transactions)</t>
  </si>
  <si>
    <t xml:space="preserve">  Sellen Anak Dagang  (11 transactions)</t>
  </si>
  <si>
    <t>Subtotal — Sellen Anak Dagang</t>
  </si>
  <si>
    <t xml:space="preserve">  SI IBG Acct 26431700012954  (24 transactions)</t>
  </si>
  <si>
    <t>Subtotal — SI IBG Acct 26431700012954</t>
  </si>
  <si>
    <t xml:space="preserve">  Public Bank (Acct 2152917307)  (12 transactions)</t>
  </si>
  <si>
    <t>Subtotal — Public Bank (Acct 2152917307)</t>
  </si>
  <si>
    <t xml:space="preserve">  JS Auto Services Centre  (2 transactions)</t>
  </si>
  <si>
    <t>Subtotal — JS Auto Services Centre</t>
  </si>
  <si>
    <t xml:space="preserve">  Huong Chiet Mien  (3 transactions)</t>
  </si>
  <si>
    <t xml:space="preserve">  Yong &amp; Oh Tax Services (Bintulu) SDN BHD  (2 transactions)</t>
  </si>
  <si>
    <t>Subtotal — Yong &amp; Oh Tax Services (Bintulu) SDN BHD</t>
  </si>
  <si>
    <t xml:space="preserve">  Danny Tiong Siew Chiong  (5 transactions)</t>
  </si>
  <si>
    <t>Subtotal — Danny Tiong Siew Chiong</t>
  </si>
  <si>
    <t xml:space="preserve">  Kho Kian Siang  (2 transactions)</t>
  </si>
  <si>
    <t>Subtotal — Kho Kian Siang</t>
  </si>
  <si>
    <t xml:space="preserve">  Kumpulan Wang Simpanan Pekerja  (1 transaction)</t>
  </si>
  <si>
    <t>Subtotal — Kumpulan Wang Simpanan Pekerja</t>
  </si>
  <si>
    <t xml:space="preserve">  Tay Sok Hiang (Tax Agent)  (3 transactions)</t>
  </si>
  <si>
    <t>Subtotal — Tay Sok Hiang (Tax Agent)</t>
  </si>
  <si>
    <t xml:space="preserve">  Sii Tung Hua  (3 transactions)</t>
  </si>
  <si>
    <t>Subtotal — Sii Tung Hua</t>
  </si>
  <si>
    <t xml:space="preserve">  Lee Tung Kiu (Agent)  (2 transactions)</t>
  </si>
  <si>
    <t>Subtotal — Lee Tung Kiu (Agent)</t>
  </si>
  <si>
    <t xml:space="preserve">  Hii King Tong  (6 transactions)</t>
  </si>
  <si>
    <t>Subtotal — Hii King Tong</t>
  </si>
  <si>
    <t xml:space="preserve">  Hashim Anak Chubing  (1 transaction)</t>
  </si>
  <si>
    <t>Subtotal — Hashim Anak Chubing</t>
  </si>
  <si>
    <t xml:space="preserve">  Tun Sen Car Accessories Service  (2 transactions)</t>
  </si>
  <si>
    <t>Subtotal — Tun Sen Car Accessories Service</t>
  </si>
  <si>
    <t xml:space="preserve">  Agro Niah SDN BHD  (1 transaction)</t>
  </si>
  <si>
    <t>Subtotal — Agro Niah SDN BHD</t>
  </si>
  <si>
    <t xml:space="preserve">  Hiap Thai Tyre &amp; Battery Co.  (1 transaction)</t>
  </si>
  <si>
    <t>Subtotal — Hiap Thai Tyre &amp; Battery Co.</t>
  </si>
  <si>
    <t xml:space="preserve">  Juru Jaya Trading (Internal)  (1 transaction)</t>
  </si>
  <si>
    <t>Subtotal — Juru Jaya Trading (Internal)</t>
  </si>
  <si>
    <t xml:space="preserve">  Hong Thai Motor Trading  (1 transaction)</t>
  </si>
  <si>
    <t>Subtotal — Hong Thai Motor Trading</t>
  </si>
  <si>
    <t xml:space="preserve">  Axiata Digital Ecode SDN BHD  (1 transaction)</t>
  </si>
  <si>
    <t>Subtotal — Axiata Digital Ecode SDN BHD</t>
  </si>
  <si>
    <t xml:space="preserve">  Pertubuhan Keselamatan Sosial  (1 transaction)</t>
  </si>
  <si>
    <t>Subtotal — Pertubuhan Keselamatan Sosial</t>
  </si>
  <si>
    <t xml:space="preserve">  Public Bank  (24 transactions)</t>
  </si>
  <si>
    <t>Subtotal — Public Bank</t>
  </si>
  <si>
    <t>TOTAL PAYMENTS (DEBITS)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</si>
</sst>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CC0000"/>
      <name val="Arial"/>
      <family val="2"/>
    </font>
    <font>
      <b/>
      <sz val="13"/>
      <color rgb="FFFFFFFF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A5276"/>
      <name val="Arial"/>
      <family val="2"/>
    </font>
    <font>
      <b/>
      <i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7B241C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FF3E0"/>
      </patternFill>
    </fill>
    <fill>
      <patternFill patternType="solid">
        <fgColor rgb="FF1F4E2C"/>
      </patternFill>
    </fill>
    <fill>
      <patternFill patternType="solid">
        <fgColor rgb="FF1A5276"/>
      </patternFill>
    </fill>
    <fill>
      <patternFill patternType="solid">
        <fgColor rgb="FF1F618D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D5D8DC"/>
      </patternFill>
    </fill>
    <fill>
      <patternFill patternType="solid">
        <fgColor rgb="FF7B241C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164" fontId="5" fillId="8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/>
    </xf>
    <xf numFmtId="164" fontId="4" fillId="9" borderId="2" xfId="0" applyNumberFormat="1" applyFont="1" applyFill="1" applyBorder="1" applyAlignment="1">
      <alignment horizontal="right" vertical="center"/>
    </xf>
    <xf numFmtId="164" fontId="7" fillId="9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164" fontId="13" fillId="14" borderId="0" xfId="0" applyNumberFormat="1" applyFont="1" applyFill="1" applyAlignment="1">
      <alignment horizontal="right" vertic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164" fontId="6" fillId="15" borderId="0" xfId="0" applyNumberFormat="1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164" fontId="6" fillId="8" borderId="0" xfId="0" applyNumberFormat="1" applyFont="1" applyFill="1" applyAlignment="1">
      <alignment horizontal="right" vertical="center"/>
    </xf>
    <xf numFmtId="164" fontId="15" fillId="16" borderId="0" xfId="0" applyNumberFormat="1" applyFont="1" applyFill="1" applyAlignment="1">
      <alignment horizontal="right" vertical="center"/>
    </xf>
    <xf numFmtId="164" fontId="16" fillId="17" borderId="0" xfId="0" applyNumberFormat="1" applyFont="1" applyFill="1" applyAlignment="1">
      <alignment horizontal="right" vertical="center"/>
    </xf>
    <xf numFmtId="0" fontId="12" fillId="19" borderId="0" xfId="0" applyFont="1" applyFill="1" applyAlignment="1">
      <alignment horizontal="center" vertical="center"/>
    </xf>
    <xf numFmtId="164" fontId="17" fillId="20" borderId="0" xfId="0" applyNumberFormat="1" applyFont="1" applyFill="1" applyAlignment="1">
      <alignment horizontal="right" vertical="center"/>
    </xf>
    <xf numFmtId="0" fontId="6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left" vertical="center"/>
    </xf>
    <xf numFmtId="164" fontId="6" fillId="21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6" fillId="17" borderId="0" xfId="0" applyFont="1" applyFill="1" applyAlignment="1">
      <alignment horizontal="right" vertical="center"/>
    </xf>
    <xf numFmtId="0" fontId="0" fillId="0" borderId="0" xfId="0"/>
    <xf numFmtId="0" fontId="14" fillId="16" borderId="0" xfId="0" applyFont="1" applyFill="1" applyAlignment="1">
      <alignment horizontal="right" vertical="center"/>
    </xf>
    <xf numFmtId="0" fontId="17" fillId="20" borderId="0" xfId="0" applyFont="1" applyFill="1" applyAlignment="1">
      <alignment horizontal="left" vertical="center"/>
    </xf>
    <xf numFmtId="0" fontId="11" fillId="18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"/>
  <sheetViews>
    <sheetView workbookViewId="0">
      <pane ySplit="3" topLeftCell="A22" activePane="bottomLeft" state="frozen"/>
      <selection pane="bottomLeft" sqref="A1:K1"/>
    </sheetView>
  </sheetViews>
  <sheetFormatPr defaultRowHeight="14.4" x14ac:dyDescent="0.3"/>
  <cols>
    <col min="1" max="1" width="5" customWidth="1"/>
    <col min="2" max="2" width="12" customWidth="1"/>
    <col min="3" max="3" width="11" customWidth="1"/>
    <col min="4" max="4" width="42" customWidth="1"/>
    <col min="5" max="5" width="28" customWidth="1"/>
    <col min="6" max="6" width="18" customWidth="1"/>
    <col min="7" max="7" width="13" customWidth="1"/>
    <col min="8" max="8" width="30" customWidth="1"/>
    <col min="9" max="10" width="13" customWidth="1"/>
    <col min="11" max="11" width="14" customWidth="1"/>
  </cols>
  <sheetData>
    <row r="1" spans="1:11" ht="30" customHeight="1" x14ac:dyDescent="0.3">
      <c r="A1" s="61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60"/>
    </row>
    <row r="2" spans="1:11" ht="18" customHeight="1" x14ac:dyDescent="0.3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60"/>
    </row>
    <row r="3" spans="1:11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3">
      <c r="A4" s="2" t="s">
        <v>13</v>
      </c>
      <c r="B4" s="2" t="s">
        <v>14</v>
      </c>
      <c r="C4" s="2" t="s">
        <v>15</v>
      </c>
      <c r="D4" s="3"/>
      <c r="E4" s="3"/>
      <c r="F4" s="3"/>
      <c r="G4" s="3"/>
      <c r="H4" s="4" t="s">
        <v>16</v>
      </c>
      <c r="I4" s="3"/>
      <c r="J4" s="3"/>
      <c r="K4" s="5">
        <v>2291.75</v>
      </c>
    </row>
    <row r="5" spans="1:11" x14ac:dyDescent="0.3">
      <c r="A5" s="6">
        <v>1</v>
      </c>
      <c r="B5" s="6" t="s">
        <v>17</v>
      </c>
      <c r="C5" s="6" t="s">
        <v>18</v>
      </c>
      <c r="D5" s="7" t="s">
        <v>19</v>
      </c>
      <c r="E5" s="7" t="s">
        <v>20</v>
      </c>
      <c r="F5" s="7" t="s">
        <v>21</v>
      </c>
      <c r="G5" s="6" t="s">
        <v>22</v>
      </c>
      <c r="H5" s="7" t="s">
        <v>19</v>
      </c>
      <c r="I5" s="8">
        <v>930</v>
      </c>
      <c r="J5" s="8"/>
      <c r="K5" s="8">
        <v>1361.75</v>
      </c>
    </row>
    <row r="6" spans="1:11" x14ac:dyDescent="0.3">
      <c r="A6" s="6">
        <v>2</v>
      </c>
      <c r="B6" s="6" t="s">
        <v>23</v>
      </c>
      <c r="C6" s="6" t="s">
        <v>18</v>
      </c>
      <c r="D6" s="7" t="s">
        <v>24</v>
      </c>
      <c r="E6" s="7" t="s">
        <v>25</v>
      </c>
      <c r="F6" s="7" t="s">
        <v>26</v>
      </c>
      <c r="G6" s="6" t="s">
        <v>27</v>
      </c>
      <c r="H6" s="7" t="s">
        <v>28</v>
      </c>
      <c r="I6" s="8"/>
      <c r="J6" s="8">
        <v>37283.78</v>
      </c>
      <c r="K6" s="8">
        <v>38645.53</v>
      </c>
    </row>
    <row r="7" spans="1:11" x14ac:dyDescent="0.3">
      <c r="A7" s="6">
        <v>3</v>
      </c>
      <c r="B7" s="6" t="s">
        <v>23</v>
      </c>
      <c r="C7" s="6" t="s">
        <v>18</v>
      </c>
      <c r="D7" s="7" t="s">
        <v>29</v>
      </c>
      <c r="E7" s="7" t="s">
        <v>30</v>
      </c>
      <c r="F7" s="7" t="s">
        <v>31</v>
      </c>
      <c r="G7" s="6" t="s">
        <v>32</v>
      </c>
      <c r="H7" s="7" t="s">
        <v>33</v>
      </c>
      <c r="I7" s="8">
        <v>10000</v>
      </c>
      <c r="J7" s="8"/>
      <c r="K7" s="8">
        <v>28645.53</v>
      </c>
    </row>
    <row r="8" spans="1:11" x14ac:dyDescent="0.3">
      <c r="A8" s="6">
        <v>4</v>
      </c>
      <c r="B8" s="6" t="s">
        <v>23</v>
      </c>
      <c r="C8" s="6" t="s">
        <v>18</v>
      </c>
      <c r="D8" s="7" t="s">
        <v>29</v>
      </c>
      <c r="E8" s="7" t="s">
        <v>30</v>
      </c>
      <c r="F8" s="7" t="s">
        <v>34</v>
      </c>
      <c r="G8" s="6" t="s">
        <v>32</v>
      </c>
      <c r="H8" s="7" t="s">
        <v>33</v>
      </c>
      <c r="I8" s="8">
        <v>5000</v>
      </c>
      <c r="J8" s="8"/>
      <c r="K8" s="8">
        <v>23645.53</v>
      </c>
    </row>
    <row r="9" spans="1:11" x14ac:dyDescent="0.3">
      <c r="A9" s="6">
        <v>5</v>
      </c>
      <c r="B9" s="6" t="s">
        <v>23</v>
      </c>
      <c r="C9" s="6" t="s">
        <v>18</v>
      </c>
      <c r="D9" s="7" t="s">
        <v>35</v>
      </c>
      <c r="E9" s="7" t="s">
        <v>36</v>
      </c>
      <c r="F9" s="7" t="s">
        <v>37</v>
      </c>
      <c r="G9" s="6" t="s">
        <v>38</v>
      </c>
      <c r="H9" s="7" t="s">
        <v>39</v>
      </c>
      <c r="I9" s="8">
        <v>4455</v>
      </c>
      <c r="J9" s="8"/>
      <c r="K9" s="8">
        <v>19190.53</v>
      </c>
    </row>
    <row r="10" spans="1:11" x14ac:dyDescent="0.3">
      <c r="A10" s="6">
        <v>6</v>
      </c>
      <c r="B10" s="6" t="s">
        <v>23</v>
      </c>
      <c r="C10" s="6" t="s">
        <v>18</v>
      </c>
      <c r="D10" s="7" t="s">
        <v>40</v>
      </c>
      <c r="E10" s="7" t="s">
        <v>41</v>
      </c>
      <c r="F10" s="7" t="s">
        <v>42</v>
      </c>
      <c r="G10" s="6" t="s">
        <v>43</v>
      </c>
      <c r="H10" s="7" t="s">
        <v>40</v>
      </c>
      <c r="I10" s="8">
        <v>159</v>
      </c>
      <c r="J10" s="8"/>
      <c r="K10" s="8">
        <v>19031.53</v>
      </c>
    </row>
    <row r="11" spans="1:11" x14ac:dyDescent="0.3">
      <c r="A11" s="6">
        <v>7</v>
      </c>
      <c r="B11" s="6" t="s">
        <v>23</v>
      </c>
      <c r="C11" s="6" t="s">
        <v>18</v>
      </c>
      <c r="D11" s="7" t="s">
        <v>44</v>
      </c>
      <c r="E11" s="7" t="s">
        <v>45</v>
      </c>
      <c r="F11" s="7" t="s">
        <v>46</v>
      </c>
      <c r="G11" s="6" t="s">
        <v>47</v>
      </c>
      <c r="H11" s="7" t="s">
        <v>48</v>
      </c>
      <c r="I11" s="8">
        <v>4415.3500000000004</v>
      </c>
      <c r="J11" s="8"/>
      <c r="K11" s="8">
        <v>14616.18</v>
      </c>
    </row>
    <row r="12" spans="1:11" x14ac:dyDescent="0.3">
      <c r="A12" s="6">
        <v>8</v>
      </c>
      <c r="B12" s="6" t="s">
        <v>23</v>
      </c>
      <c r="C12" s="6" t="s">
        <v>18</v>
      </c>
      <c r="D12" s="7" t="s">
        <v>49</v>
      </c>
      <c r="E12" s="7" t="s">
        <v>50</v>
      </c>
      <c r="F12" s="7" t="s">
        <v>51</v>
      </c>
      <c r="G12" s="6" t="s">
        <v>47</v>
      </c>
      <c r="H12" s="7" t="s">
        <v>48</v>
      </c>
      <c r="I12" s="8">
        <v>925.65</v>
      </c>
      <c r="J12" s="8"/>
      <c r="K12" s="8">
        <v>13690.53</v>
      </c>
    </row>
    <row r="13" spans="1:11" x14ac:dyDescent="0.3">
      <c r="A13" s="6">
        <v>9</v>
      </c>
      <c r="B13" s="6" t="s">
        <v>52</v>
      </c>
      <c r="C13" s="6" t="s">
        <v>18</v>
      </c>
      <c r="D13" s="7" t="s">
        <v>53</v>
      </c>
      <c r="E13" s="7" t="s">
        <v>54</v>
      </c>
      <c r="F13" s="7" t="s">
        <v>55</v>
      </c>
      <c r="G13" s="6" t="s">
        <v>56</v>
      </c>
      <c r="H13" s="7" t="s">
        <v>57</v>
      </c>
      <c r="I13" s="8"/>
      <c r="J13" s="8">
        <v>1962</v>
      </c>
      <c r="K13" s="8">
        <v>15652.53</v>
      </c>
    </row>
    <row r="14" spans="1:11" x14ac:dyDescent="0.3">
      <c r="A14" s="6">
        <v>10</v>
      </c>
      <c r="B14" s="6" t="s">
        <v>52</v>
      </c>
      <c r="C14" s="6" t="s">
        <v>18</v>
      </c>
      <c r="D14" s="7" t="s">
        <v>58</v>
      </c>
      <c r="E14" s="7" t="s">
        <v>54</v>
      </c>
      <c r="F14" s="7" t="s">
        <v>59</v>
      </c>
      <c r="G14" s="6" t="s">
        <v>60</v>
      </c>
      <c r="H14" s="7" t="s">
        <v>61</v>
      </c>
      <c r="I14" s="8"/>
      <c r="J14" s="8">
        <v>22500</v>
      </c>
      <c r="K14" s="8">
        <v>38152.53</v>
      </c>
    </row>
    <row r="15" spans="1:11" x14ac:dyDescent="0.3">
      <c r="A15" s="6">
        <v>11</v>
      </c>
      <c r="B15" s="6" t="s">
        <v>62</v>
      </c>
      <c r="C15" s="6" t="s">
        <v>18</v>
      </c>
      <c r="D15" s="7" t="s">
        <v>58</v>
      </c>
      <c r="E15" s="7" t="s">
        <v>63</v>
      </c>
      <c r="F15" s="7" t="s">
        <v>64</v>
      </c>
      <c r="G15" s="6" t="s">
        <v>60</v>
      </c>
      <c r="H15" s="7" t="s">
        <v>61</v>
      </c>
      <c r="I15" s="8"/>
      <c r="J15" s="8">
        <v>1860</v>
      </c>
      <c r="K15" s="8">
        <v>40012.53</v>
      </c>
    </row>
    <row r="16" spans="1:11" x14ac:dyDescent="0.3">
      <c r="A16" s="6">
        <v>12</v>
      </c>
      <c r="B16" s="6" t="s">
        <v>62</v>
      </c>
      <c r="C16" s="6" t="s">
        <v>18</v>
      </c>
      <c r="D16" s="7" t="s">
        <v>29</v>
      </c>
      <c r="E16" s="7" t="s">
        <v>30</v>
      </c>
      <c r="F16" s="7" t="s">
        <v>65</v>
      </c>
      <c r="G16" s="6" t="s">
        <v>32</v>
      </c>
      <c r="H16" s="7" t="s">
        <v>33</v>
      </c>
      <c r="I16" s="8">
        <v>10000</v>
      </c>
      <c r="J16" s="8"/>
      <c r="K16" s="8">
        <v>30012.53</v>
      </c>
    </row>
    <row r="17" spans="1:11" x14ac:dyDescent="0.3">
      <c r="A17" s="6">
        <v>13</v>
      </c>
      <c r="B17" s="6" t="s">
        <v>66</v>
      </c>
      <c r="C17" s="6" t="s">
        <v>18</v>
      </c>
      <c r="D17" s="7" t="s">
        <v>67</v>
      </c>
      <c r="E17" s="7" t="s">
        <v>68</v>
      </c>
      <c r="F17" s="7" t="s">
        <v>69</v>
      </c>
      <c r="G17" s="6" t="s">
        <v>70</v>
      </c>
      <c r="H17" s="7" t="s">
        <v>71</v>
      </c>
      <c r="I17" s="8">
        <v>5.3</v>
      </c>
      <c r="J17" s="8"/>
      <c r="K17" s="8">
        <v>30007.23</v>
      </c>
    </row>
    <row r="18" spans="1:11" x14ac:dyDescent="0.3">
      <c r="A18" s="6">
        <v>14</v>
      </c>
      <c r="B18" s="6" t="s">
        <v>66</v>
      </c>
      <c r="C18" s="6" t="s">
        <v>18</v>
      </c>
      <c r="D18" s="7" t="s">
        <v>72</v>
      </c>
      <c r="E18" s="7" t="s">
        <v>73</v>
      </c>
      <c r="F18" s="7" t="s">
        <v>74</v>
      </c>
      <c r="G18" s="6" t="s">
        <v>75</v>
      </c>
      <c r="H18" s="7" t="s">
        <v>72</v>
      </c>
      <c r="I18" s="8">
        <v>1561</v>
      </c>
      <c r="J18" s="8"/>
      <c r="K18" s="8">
        <v>28446.23</v>
      </c>
    </row>
    <row r="19" spans="1:11" x14ac:dyDescent="0.3">
      <c r="A19" s="6">
        <v>15</v>
      </c>
      <c r="B19" s="6" t="s">
        <v>66</v>
      </c>
      <c r="C19" s="6" t="s">
        <v>18</v>
      </c>
      <c r="D19" s="7" t="s">
        <v>29</v>
      </c>
      <c r="E19" s="7" t="s">
        <v>30</v>
      </c>
      <c r="F19" s="7" t="s">
        <v>76</v>
      </c>
      <c r="G19" s="6" t="s">
        <v>32</v>
      </c>
      <c r="H19" s="7" t="s">
        <v>33</v>
      </c>
      <c r="I19" s="8">
        <v>3000</v>
      </c>
      <c r="J19" s="8"/>
      <c r="K19" s="8">
        <v>25446.23</v>
      </c>
    </row>
    <row r="20" spans="1:11" x14ac:dyDescent="0.3">
      <c r="A20" s="6">
        <v>16</v>
      </c>
      <c r="B20" s="6" t="s">
        <v>77</v>
      </c>
      <c r="C20" s="6" t="s">
        <v>18</v>
      </c>
      <c r="D20" s="7" t="s">
        <v>29</v>
      </c>
      <c r="E20" s="7" t="s">
        <v>30</v>
      </c>
      <c r="F20" s="7" t="s">
        <v>78</v>
      </c>
      <c r="G20" s="6" t="s">
        <v>32</v>
      </c>
      <c r="H20" s="7" t="s">
        <v>33</v>
      </c>
      <c r="I20" s="8">
        <v>6000</v>
      </c>
      <c r="J20" s="8"/>
      <c r="K20" s="8">
        <v>19446.23</v>
      </c>
    </row>
    <row r="21" spans="1:11" x14ac:dyDescent="0.3">
      <c r="A21" s="6">
        <v>17</v>
      </c>
      <c r="B21" s="6" t="s">
        <v>77</v>
      </c>
      <c r="C21" s="6" t="s">
        <v>18</v>
      </c>
      <c r="D21" s="7" t="s">
        <v>29</v>
      </c>
      <c r="E21" s="7" t="s">
        <v>30</v>
      </c>
      <c r="F21" s="7" t="s">
        <v>79</v>
      </c>
      <c r="G21" s="6" t="s">
        <v>32</v>
      </c>
      <c r="H21" s="7" t="s">
        <v>33</v>
      </c>
      <c r="I21" s="8">
        <v>2000</v>
      </c>
      <c r="J21" s="8"/>
      <c r="K21" s="8">
        <v>17446.23</v>
      </c>
    </row>
    <row r="22" spans="1:11" x14ac:dyDescent="0.3">
      <c r="A22" s="6">
        <v>18</v>
      </c>
      <c r="B22" s="6" t="s">
        <v>77</v>
      </c>
      <c r="C22" s="6" t="s">
        <v>18</v>
      </c>
      <c r="D22" s="7" t="s">
        <v>29</v>
      </c>
      <c r="E22" s="7" t="s">
        <v>30</v>
      </c>
      <c r="F22" s="7" t="s">
        <v>80</v>
      </c>
      <c r="G22" s="6" t="s">
        <v>32</v>
      </c>
      <c r="H22" s="7" t="s">
        <v>33</v>
      </c>
      <c r="I22" s="8">
        <v>15000</v>
      </c>
      <c r="J22" s="8"/>
      <c r="K22" s="8">
        <v>2446.23</v>
      </c>
    </row>
    <row r="23" spans="1:11" x14ac:dyDescent="0.3">
      <c r="A23" s="6">
        <v>19</v>
      </c>
      <c r="B23" s="6" t="s">
        <v>81</v>
      </c>
      <c r="C23" s="6" t="s">
        <v>18</v>
      </c>
      <c r="D23" s="7" t="s">
        <v>82</v>
      </c>
      <c r="E23" s="7" t="s">
        <v>30</v>
      </c>
      <c r="F23" s="7" t="s">
        <v>83</v>
      </c>
      <c r="G23" s="6" t="s">
        <v>84</v>
      </c>
      <c r="H23" s="7" t="s">
        <v>85</v>
      </c>
      <c r="I23" s="8"/>
      <c r="J23" s="8">
        <v>1000</v>
      </c>
      <c r="K23" s="8">
        <v>3446.23</v>
      </c>
    </row>
    <row r="24" spans="1:11" x14ac:dyDescent="0.3">
      <c r="A24" s="6">
        <v>20</v>
      </c>
      <c r="B24" s="6" t="s">
        <v>81</v>
      </c>
      <c r="C24" s="6" t="s">
        <v>18</v>
      </c>
      <c r="D24" s="7" t="s">
        <v>82</v>
      </c>
      <c r="E24" s="7" t="s">
        <v>30</v>
      </c>
      <c r="F24" s="7" t="s">
        <v>86</v>
      </c>
      <c r="G24" s="6" t="s">
        <v>84</v>
      </c>
      <c r="H24" s="7" t="s">
        <v>85</v>
      </c>
      <c r="I24" s="8"/>
      <c r="J24" s="8">
        <v>2000</v>
      </c>
      <c r="K24" s="8">
        <v>5446.23</v>
      </c>
    </row>
    <row r="25" spans="1:11" x14ac:dyDescent="0.3">
      <c r="A25" s="6">
        <v>21</v>
      </c>
      <c r="B25" s="6" t="s">
        <v>81</v>
      </c>
      <c r="C25" s="6" t="s">
        <v>18</v>
      </c>
      <c r="D25" s="7" t="s">
        <v>87</v>
      </c>
      <c r="E25" s="7" t="s">
        <v>88</v>
      </c>
      <c r="F25" s="7" t="s">
        <v>89</v>
      </c>
      <c r="G25" s="6" t="s">
        <v>47</v>
      </c>
      <c r="H25" s="7" t="s">
        <v>48</v>
      </c>
      <c r="I25" s="8">
        <v>373</v>
      </c>
      <c r="J25" s="8"/>
      <c r="K25" s="8">
        <v>5073.2299999999996</v>
      </c>
    </row>
    <row r="26" spans="1:11" x14ac:dyDescent="0.3">
      <c r="A26" s="6">
        <v>22</v>
      </c>
      <c r="B26" s="6" t="s">
        <v>81</v>
      </c>
      <c r="C26" s="6" t="s">
        <v>18</v>
      </c>
      <c r="D26" s="7" t="s">
        <v>87</v>
      </c>
      <c r="E26" s="7" t="s">
        <v>88</v>
      </c>
      <c r="F26" s="7" t="s">
        <v>90</v>
      </c>
      <c r="G26" s="6" t="s">
        <v>47</v>
      </c>
      <c r="H26" s="7" t="s">
        <v>48</v>
      </c>
      <c r="I26" s="8">
        <v>240</v>
      </c>
      <c r="J26" s="8"/>
      <c r="K26" s="8">
        <v>4833.2299999999996</v>
      </c>
    </row>
    <row r="27" spans="1:11" x14ac:dyDescent="0.3">
      <c r="A27" s="6">
        <v>23</v>
      </c>
      <c r="B27" s="6" t="s">
        <v>81</v>
      </c>
      <c r="C27" s="6" t="s">
        <v>18</v>
      </c>
      <c r="D27" s="7" t="s">
        <v>91</v>
      </c>
      <c r="E27" s="7" t="s">
        <v>92</v>
      </c>
      <c r="F27" s="7" t="s">
        <v>93</v>
      </c>
      <c r="G27" s="6" t="s">
        <v>94</v>
      </c>
      <c r="H27" s="7" t="s">
        <v>95</v>
      </c>
      <c r="I27" s="8">
        <v>4482</v>
      </c>
      <c r="J27" s="8"/>
      <c r="K27" s="8">
        <v>351.22999999999962</v>
      </c>
    </row>
    <row r="28" spans="1:11" x14ac:dyDescent="0.3">
      <c r="A28" s="6">
        <v>24</v>
      </c>
      <c r="B28" s="6" t="s">
        <v>96</v>
      </c>
      <c r="C28" s="6" t="s">
        <v>18</v>
      </c>
      <c r="D28" s="7" t="s">
        <v>67</v>
      </c>
      <c r="E28" s="7" t="s">
        <v>68</v>
      </c>
      <c r="F28" s="7" t="s">
        <v>69</v>
      </c>
      <c r="G28" s="6" t="s">
        <v>70</v>
      </c>
      <c r="H28" s="7" t="s">
        <v>71</v>
      </c>
      <c r="I28" s="8">
        <v>5.3</v>
      </c>
      <c r="J28" s="8"/>
      <c r="K28" s="8">
        <v>345.92999999999961</v>
      </c>
    </row>
    <row r="29" spans="1:11" x14ac:dyDescent="0.3">
      <c r="A29" s="6">
        <v>25</v>
      </c>
      <c r="B29" s="6" t="s">
        <v>96</v>
      </c>
      <c r="C29" s="6" t="s">
        <v>18</v>
      </c>
      <c r="D29" s="7" t="s">
        <v>72</v>
      </c>
      <c r="E29" s="7" t="s">
        <v>73</v>
      </c>
      <c r="F29" s="7" t="s">
        <v>74</v>
      </c>
      <c r="G29" s="6" t="s">
        <v>75</v>
      </c>
      <c r="H29" s="7" t="s">
        <v>72</v>
      </c>
      <c r="I29" s="8">
        <v>1962</v>
      </c>
      <c r="J29" s="8"/>
      <c r="K29" s="9">
        <v>-1616.07</v>
      </c>
    </row>
    <row r="30" spans="1:11" x14ac:dyDescent="0.3">
      <c r="A30" s="10">
        <v>26</v>
      </c>
      <c r="B30" s="10" t="s">
        <v>97</v>
      </c>
      <c r="C30" s="10" t="s">
        <v>98</v>
      </c>
      <c r="D30" s="11" t="s">
        <v>19</v>
      </c>
      <c r="E30" s="11" t="s">
        <v>20</v>
      </c>
      <c r="F30" s="11" t="s">
        <v>21</v>
      </c>
      <c r="G30" s="10" t="s">
        <v>22</v>
      </c>
      <c r="H30" s="11" t="s">
        <v>19</v>
      </c>
      <c r="I30" s="12">
        <v>930</v>
      </c>
      <c r="J30" s="12"/>
      <c r="K30" s="13">
        <v>-2546.0700000000011</v>
      </c>
    </row>
    <row r="31" spans="1:11" x14ac:dyDescent="0.3">
      <c r="A31" s="10">
        <v>27</v>
      </c>
      <c r="B31" s="10" t="s">
        <v>99</v>
      </c>
      <c r="C31" s="10" t="s">
        <v>98</v>
      </c>
      <c r="D31" s="11" t="s">
        <v>82</v>
      </c>
      <c r="E31" s="11" t="s">
        <v>30</v>
      </c>
      <c r="F31" s="11" t="s">
        <v>100</v>
      </c>
      <c r="G31" s="10" t="s">
        <v>84</v>
      </c>
      <c r="H31" s="11" t="s">
        <v>85</v>
      </c>
      <c r="I31" s="12"/>
      <c r="J31" s="12">
        <v>3500</v>
      </c>
      <c r="K31" s="12">
        <v>953.92999999999938</v>
      </c>
    </row>
    <row r="32" spans="1:11" x14ac:dyDescent="0.3">
      <c r="A32" s="10">
        <v>28</v>
      </c>
      <c r="B32" s="10" t="s">
        <v>99</v>
      </c>
      <c r="C32" s="10" t="s">
        <v>98</v>
      </c>
      <c r="D32" s="11" t="s">
        <v>101</v>
      </c>
      <c r="E32" s="11" t="s">
        <v>102</v>
      </c>
      <c r="F32" s="11" t="s">
        <v>103</v>
      </c>
      <c r="G32" s="10" t="s">
        <v>104</v>
      </c>
      <c r="H32" s="11" t="s">
        <v>105</v>
      </c>
      <c r="I32" s="12">
        <v>3000</v>
      </c>
      <c r="J32" s="12"/>
      <c r="K32" s="13">
        <v>-2046.0700000000011</v>
      </c>
    </row>
    <row r="33" spans="1:11" x14ac:dyDescent="0.3">
      <c r="A33" s="10">
        <v>29</v>
      </c>
      <c r="B33" s="10" t="s">
        <v>106</v>
      </c>
      <c r="C33" s="10" t="s">
        <v>98</v>
      </c>
      <c r="D33" s="11" t="s">
        <v>107</v>
      </c>
      <c r="E33" s="11" t="s">
        <v>108</v>
      </c>
      <c r="F33" s="11" t="s">
        <v>109</v>
      </c>
      <c r="G33" s="10" t="s">
        <v>110</v>
      </c>
      <c r="H33" s="11" t="s">
        <v>111</v>
      </c>
      <c r="I33" s="12"/>
      <c r="J33" s="12">
        <v>56.3</v>
      </c>
      <c r="K33" s="13">
        <v>-1989.7700000000009</v>
      </c>
    </row>
    <row r="34" spans="1:11" x14ac:dyDescent="0.3">
      <c r="A34" s="10">
        <v>30</v>
      </c>
      <c r="B34" s="10" t="s">
        <v>112</v>
      </c>
      <c r="C34" s="10" t="s">
        <v>98</v>
      </c>
      <c r="D34" s="11" t="s">
        <v>82</v>
      </c>
      <c r="E34" s="11" t="s">
        <v>30</v>
      </c>
      <c r="F34" s="11" t="s">
        <v>113</v>
      </c>
      <c r="G34" s="10" t="s">
        <v>84</v>
      </c>
      <c r="H34" s="11" t="s">
        <v>85</v>
      </c>
      <c r="I34" s="12"/>
      <c r="J34" s="12">
        <v>3000</v>
      </c>
      <c r="K34" s="12">
        <v>1010.229999999999</v>
      </c>
    </row>
    <row r="35" spans="1:11" x14ac:dyDescent="0.3">
      <c r="A35" s="10">
        <v>31</v>
      </c>
      <c r="B35" s="10" t="s">
        <v>114</v>
      </c>
      <c r="C35" s="10" t="s">
        <v>98</v>
      </c>
      <c r="D35" s="11" t="s">
        <v>67</v>
      </c>
      <c r="E35" s="11" t="s">
        <v>68</v>
      </c>
      <c r="F35" s="11" t="s">
        <v>69</v>
      </c>
      <c r="G35" s="10" t="s">
        <v>70</v>
      </c>
      <c r="H35" s="11" t="s">
        <v>71</v>
      </c>
      <c r="I35" s="12">
        <v>5.3</v>
      </c>
      <c r="J35" s="12"/>
      <c r="K35" s="12">
        <v>1004.929999999999</v>
      </c>
    </row>
    <row r="36" spans="1:11" x14ac:dyDescent="0.3">
      <c r="A36" s="10">
        <v>32</v>
      </c>
      <c r="B36" s="10" t="s">
        <v>114</v>
      </c>
      <c r="C36" s="10" t="s">
        <v>98</v>
      </c>
      <c r="D36" s="11" t="s">
        <v>72</v>
      </c>
      <c r="E36" s="11" t="s">
        <v>73</v>
      </c>
      <c r="F36" s="11" t="s">
        <v>74</v>
      </c>
      <c r="G36" s="10" t="s">
        <v>75</v>
      </c>
      <c r="H36" s="11" t="s">
        <v>72</v>
      </c>
      <c r="I36" s="12">
        <v>1561</v>
      </c>
      <c r="J36" s="12"/>
      <c r="K36" s="13">
        <v>-556.07000000000062</v>
      </c>
    </row>
    <row r="37" spans="1:11" x14ac:dyDescent="0.3">
      <c r="A37" s="10">
        <v>33</v>
      </c>
      <c r="B37" s="10" t="s">
        <v>115</v>
      </c>
      <c r="C37" s="10" t="s">
        <v>98</v>
      </c>
      <c r="D37" s="11" t="s">
        <v>29</v>
      </c>
      <c r="E37" s="11" t="s">
        <v>30</v>
      </c>
      <c r="F37" s="11" t="s">
        <v>116</v>
      </c>
      <c r="G37" s="10" t="s">
        <v>32</v>
      </c>
      <c r="H37" s="11" t="s">
        <v>33</v>
      </c>
      <c r="I37" s="12">
        <v>180</v>
      </c>
      <c r="J37" s="12"/>
      <c r="K37" s="13">
        <v>-736.07000000000062</v>
      </c>
    </row>
    <row r="38" spans="1:11" x14ac:dyDescent="0.3">
      <c r="A38" s="10">
        <v>34</v>
      </c>
      <c r="B38" s="10" t="s">
        <v>117</v>
      </c>
      <c r="C38" s="10" t="s">
        <v>98</v>
      </c>
      <c r="D38" s="11" t="s">
        <v>118</v>
      </c>
      <c r="E38" s="11" t="s">
        <v>54</v>
      </c>
      <c r="F38" s="11" t="s">
        <v>119</v>
      </c>
      <c r="G38" s="10" t="s">
        <v>56</v>
      </c>
      <c r="H38" s="11" t="s">
        <v>57</v>
      </c>
      <c r="I38" s="12"/>
      <c r="J38" s="12">
        <v>1962</v>
      </c>
      <c r="K38" s="12">
        <v>1225.9299999999989</v>
      </c>
    </row>
    <row r="39" spans="1:11" x14ac:dyDescent="0.3">
      <c r="A39" s="10">
        <v>35</v>
      </c>
      <c r="B39" s="10" t="s">
        <v>117</v>
      </c>
      <c r="C39" s="10" t="s">
        <v>98</v>
      </c>
      <c r="D39" s="11" t="s">
        <v>29</v>
      </c>
      <c r="E39" s="11" t="s">
        <v>30</v>
      </c>
      <c r="F39" s="11" t="s">
        <v>120</v>
      </c>
      <c r="G39" s="10" t="s">
        <v>32</v>
      </c>
      <c r="H39" s="11" t="s">
        <v>33</v>
      </c>
      <c r="I39" s="12">
        <v>154</v>
      </c>
      <c r="J39" s="12"/>
      <c r="K39" s="12">
        <v>1071.9299999999989</v>
      </c>
    </row>
    <row r="40" spans="1:11" x14ac:dyDescent="0.3">
      <c r="A40" s="10">
        <v>36</v>
      </c>
      <c r="B40" s="10" t="s">
        <v>117</v>
      </c>
      <c r="C40" s="10" t="s">
        <v>98</v>
      </c>
      <c r="D40" s="11" t="s">
        <v>29</v>
      </c>
      <c r="E40" s="11" t="s">
        <v>30</v>
      </c>
      <c r="F40" s="11" t="s">
        <v>121</v>
      </c>
      <c r="G40" s="10" t="s">
        <v>32</v>
      </c>
      <c r="H40" s="11" t="s">
        <v>33</v>
      </c>
      <c r="I40" s="12">
        <v>1000</v>
      </c>
      <c r="J40" s="12"/>
      <c r="K40" s="12">
        <v>71.929999999999382</v>
      </c>
    </row>
    <row r="41" spans="1:11" x14ac:dyDescent="0.3">
      <c r="A41" s="10">
        <v>37</v>
      </c>
      <c r="B41" s="10" t="s">
        <v>122</v>
      </c>
      <c r="C41" s="10" t="s">
        <v>98</v>
      </c>
      <c r="D41" s="11" t="s">
        <v>67</v>
      </c>
      <c r="E41" s="11" t="s">
        <v>68</v>
      </c>
      <c r="F41" s="11" t="s">
        <v>69</v>
      </c>
      <c r="G41" s="10" t="s">
        <v>70</v>
      </c>
      <c r="H41" s="11" t="s">
        <v>71</v>
      </c>
      <c r="I41" s="12">
        <v>5.3</v>
      </c>
      <c r="J41" s="12"/>
      <c r="K41" s="12">
        <v>66.629999999999384</v>
      </c>
    </row>
    <row r="42" spans="1:11" x14ac:dyDescent="0.3">
      <c r="A42" s="10">
        <v>38</v>
      </c>
      <c r="B42" s="10" t="s">
        <v>122</v>
      </c>
      <c r="C42" s="10" t="s">
        <v>98</v>
      </c>
      <c r="D42" s="11" t="s">
        <v>72</v>
      </c>
      <c r="E42" s="11" t="s">
        <v>73</v>
      </c>
      <c r="F42" s="11" t="s">
        <v>74</v>
      </c>
      <c r="G42" s="10" t="s">
        <v>75</v>
      </c>
      <c r="H42" s="11" t="s">
        <v>72</v>
      </c>
      <c r="I42" s="12">
        <v>1962</v>
      </c>
      <c r="J42" s="12"/>
      <c r="K42" s="13">
        <v>-1895.370000000001</v>
      </c>
    </row>
    <row r="43" spans="1:11" x14ac:dyDescent="0.3">
      <c r="A43" s="14">
        <v>39</v>
      </c>
      <c r="B43" s="14" t="s">
        <v>123</v>
      </c>
      <c r="C43" s="14" t="s">
        <v>124</v>
      </c>
      <c r="D43" s="15" t="s">
        <v>19</v>
      </c>
      <c r="E43" s="15" t="s">
        <v>20</v>
      </c>
      <c r="F43" s="15" t="s">
        <v>21</v>
      </c>
      <c r="G43" s="14" t="s">
        <v>22</v>
      </c>
      <c r="H43" s="15" t="s">
        <v>19</v>
      </c>
      <c r="I43" s="16">
        <v>930</v>
      </c>
      <c r="J43" s="16"/>
      <c r="K43" s="17">
        <v>-2825.3700000000008</v>
      </c>
    </row>
    <row r="44" spans="1:11" x14ac:dyDescent="0.3">
      <c r="A44" s="14">
        <v>40</v>
      </c>
      <c r="B44" s="14" t="s">
        <v>125</v>
      </c>
      <c r="C44" s="14" t="s">
        <v>124</v>
      </c>
      <c r="D44" s="15" t="s">
        <v>126</v>
      </c>
      <c r="E44" s="15" t="s">
        <v>25</v>
      </c>
      <c r="F44" s="15" t="s">
        <v>127</v>
      </c>
      <c r="G44" s="14" t="s">
        <v>27</v>
      </c>
      <c r="H44" s="15" t="s">
        <v>28</v>
      </c>
      <c r="I44" s="16"/>
      <c r="J44" s="16">
        <v>21907.14</v>
      </c>
      <c r="K44" s="16">
        <v>19081.77</v>
      </c>
    </row>
    <row r="45" spans="1:11" x14ac:dyDescent="0.3">
      <c r="A45" s="14">
        <v>41</v>
      </c>
      <c r="B45" s="14" t="s">
        <v>125</v>
      </c>
      <c r="C45" s="14" t="s">
        <v>124</v>
      </c>
      <c r="D45" s="15" t="s">
        <v>29</v>
      </c>
      <c r="E45" s="15" t="s">
        <v>128</v>
      </c>
      <c r="F45" s="15" t="s">
        <v>129</v>
      </c>
      <c r="G45" s="14" t="s">
        <v>32</v>
      </c>
      <c r="H45" s="15" t="s">
        <v>33</v>
      </c>
      <c r="I45" s="16">
        <v>6000</v>
      </c>
      <c r="J45" s="16"/>
      <c r="K45" s="16">
        <v>13081.77</v>
      </c>
    </row>
    <row r="46" spans="1:11" x14ac:dyDescent="0.3">
      <c r="A46" s="14">
        <v>42</v>
      </c>
      <c r="B46" s="14" t="s">
        <v>125</v>
      </c>
      <c r="C46" s="14" t="s">
        <v>124</v>
      </c>
      <c r="D46" s="15" t="s">
        <v>29</v>
      </c>
      <c r="E46" s="15" t="s">
        <v>30</v>
      </c>
      <c r="F46" s="15" t="s">
        <v>130</v>
      </c>
      <c r="G46" s="14" t="s">
        <v>32</v>
      </c>
      <c r="H46" s="15" t="s">
        <v>33</v>
      </c>
      <c r="I46" s="16">
        <v>10000</v>
      </c>
      <c r="J46" s="16"/>
      <c r="K46" s="16">
        <v>3081.7699999999968</v>
      </c>
    </row>
    <row r="47" spans="1:11" x14ac:dyDescent="0.3">
      <c r="A47" s="14">
        <v>43</v>
      </c>
      <c r="B47" s="14" t="s">
        <v>125</v>
      </c>
      <c r="C47" s="14" t="s">
        <v>124</v>
      </c>
      <c r="D47" s="15" t="s">
        <v>29</v>
      </c>
      <c r="E47" s="15" t="s">
        <v>30</v>
      </c>
      <c r="F47" s="15" t="s">
        <v>131</v>
      </c>
      <c r="G47" s="14" t="s">
        <v>32</v>
      </c>
      <c r="H47" s="15" t="s">
        <v>33</v>
      </c>
      <c r="I47" s="16">
        <v>2000</v>
      </c>
      <c r="J47" s="16"/>
      <c r="K47" s="16">
        <v>1081.769999999997</v>
      </c>
    </row>
    <row r="48" spans="1:11" x14ac:dyDescent="0.3">
      <c r="A48" s="14">
        <v>44</v>
      </c>
      <c r="B48" s="14" t="s">
        <v>132</v>
      </c>
      <c r="C48" s="14" t="s">
        <v>124</v>
      </c>
      <c r="D48" s="15" t="s">
        <v>29</v>
      </c>
      <c r="E48" s="15" t="s">
        <v>128</v>
      </c>
      <c r="F48" s="15" t="s">
        <v>133</v>
      </c>
      <c r="G48" s="14" t="s">
        <v>32</v>
      </c>
      <c r="H48" s="15" t="s">
        <v>33</v>
      </c>
      <c r="I48" s="16">
        <v>4000</v>
      </c>
      <c r="J48" s="16"/>
      <c r="K48" s="17">
        <v>-2918.2300000000032</v>
      </c>
    </row>
    <row r="49" spans="1:11" x14ac:dyDescent="0.3">
      <c r="A49" s="14">
        <v>45</v>
      </c>
      <c r="B49" s="14" t="s">
        <v>134</v>
      </c>
      <c r="C49" s="14" t="s">
        <v>124</v>
      </c>
      <c r="D49" s="15" t="s">
        <v>58</v>
      </c>
      <c r="E49" s="15" t="s">
        <v>63</v>
      </c>
      <c r="F49" s="15" t="s">
        <v>135</v>
      </c>
      <c r="G49" s="14" t="s">
        <v>60</v>
      </c>
      <c r="H49" s="15" t="s">
        <v>61</v>
      </c>
      <c r="I49" s="16"/>
      <c r="J49" s="16">
        <v>360</v>
      </c>
      <c r="K49" s="17">
        <v>-2558.2300000000032</v>
      </c>
    </row>
    <row r="50" spans="1:11" x14ac:dyDescent="0.3">
      <c r="A50" s="14">
        <v>46</v>
      </c>
      <c r="B50" s="14" t="s">
        <v>136</v>
      </c>
      <c r="C50" s="14" t="s">
        <v>124</v>
      </c>
      <c r="D50" s="15" t="s">
        <v>107</v>
      </c>
      <c r="E50" s="15" t="s">
        <v>108</v>
      </c>
      <c r="F50" s="15" t="s">
        <v>137</v>
      </c>
      <c r="G50" s="14" t="s">
        <v>110</v>
      </c>
      <c r="H50" s="15" t="s">
        <v>111</v>
      </c>
      <c r="I50" s="16"/>
      <c r="J50" s="16">
        <v>55.58</v>
      </c>
      <c r="K50" s="17">
        <v>-2502.6500000000028</v>
      </c>
    </row>
    <row r="51" spans="1:11" x14ac:dyDescent="0.3">
      <c r="A51" s="14">
        <v>47</v>
      </c>
      <c r="B51" s="14" t="s">
        <v>138</v>
      </c>
      <c r="C51" s="14" t="s">
        <v>124</v>
      </c>
      <c r="D51" s="15" t="s">
        <v>67</v>
      </c>
      <c r="E51" s="15" t="s">
        <v>68</v>
      </c>
      <c r="F51" s="15" t="s">
        <v>69</v>
      </c>
      <c r="G51" s="14" t="s">
        <v>70</v>
      </c>
      <c r="H51" s="15" t="s">
        <v>71</v>
      </c>
      <c r="I51" s="16">
        <v>5.3</v>
      </c>
      <c r="J51" s="16"/>
      <c r="K51" s="17">
        <v>-2507.950000000003</v>
      </c>
    </row>
    <row r="52" spans="1:11" x14ac:dyDescent="0.3">
      <c r="A52" s="14">
        <v>48</v>
      </c>
      <c r="B52" s="14" t="s">
        <v>138</v>
      </c>
      <c r="C52" s="14" t="s">
        <v>124</v>
      </c>
      <c r="D52" s="15" t="s">
        <v>72</v>
      </c>
      <c r="E52" s="15" t="s">
        <v>73</v>
      </c>
      <c r="F52" s="15" t="s">
        <v>74</v>
      </c>
      <c r="G52" s="14" t="s">
        <v>75</v>
      </c>
      <c r="H52" s="15" t="s">
        <v>72</v>
      </c>
      <c r="I52" s="16">
        <v>1561</v>
      </c>
      <c r="J52" s="16"/>
      <c r="K52" s="17">
        <v>-4068.950000000003</v>
      </c>
    </row>
    <row r="53" spans="1:11" x14ac:dyDescent="0.3">
      <c r="A53" s="14">
        <v>49</v>
      </c>
      <c r="B53" s="14" t="s">
        <v>139</v>
      </c>
      <c r="C53" s="14" t="s">
        <v>124</v>
      </c>
      <c r="D53" s="15" t="s">
        <v>82</v>
      </c>
      <c r="E53" s="15" t="s">
        <v>30</v>
      </c>
      <c r="F53" s="15" t="s">
        <v>140</v>
      </c>
      <c r="G53" s="14" t="s">
        <v>84</v>
      </c>
      <c r="H53" s="15" t="s">
        <v>85</v>
      </c>
      <c r="I53" s="16"/>
      <c r="J53" s="16">
        <v>2000</v>
      </c>
      <c r="K53" s="17">
        <v>-2068.950000000003</v>
      </c>
    </row>
    <row r="54" spans="1:11" x14ac:dyDescent="0.3">
      <c r="A54" s="14">
        <v>50</v>
      </c>
      <c r="B54" s="14" t="s">
        <v>139</v>
      </c>
      <c r="C54" s="14" t="s">
        <v>124</v>
      </c>
      <c r="D54" s="15" t="s">
        <v>141</v>
      </c>
      <c r="E54" s="15" t="s">
        <v>142</v>
      </c>
      <c r="F54" s="15" t="s">
        <v>143</v>
      </c>
      <c r="G54" s="14" t="s">
        <v>144</v>
      </c>
      <c r="H54" s="15" t="s">
        <v>145</v>
      </c>
      <c r="I54" s="16">
        <v>700</v>
      </c>
      <c r="J54" s="16"/>
      <c r="K54" s="17">
        <v>-2768.950000000003</v>
      </c>
    </row>
    <row r="55" spans="1:11" x14ac:dyDescent="0.3">
      <c r="A55" s="14">
        <v>51</v>
      </c>
      <c r="B55" s="14" t="s">
        <v>146</v>
      </c>
      <c r="C55" s="14" t="s">
        <v>124</v>
      </c>
      <c r="D55" s="15" t="s">
        <v>147</v>
      </c>
      <c r="E55" s="15" t="s">
        <v>54</v>
      </c>
      <c r="F55" s="15" t="s">
        <v>148</v>
      </c>
      <c r="G55" s="14" t="s">
        <v>56</v>
      </c>
      <c r="H55" s="15" t="s">
        <v>57</v>
      </c>
      <c r="I55" s="16"/>
      <c r="J55" s="16">
        <v>1962</v>
      </c>
      <c r="K55" s="17">
        <v>-806.95000000000346</v>
      </c>
    </row>
    <row r="56" spans="1:11" x14ac:dyDescent="0.3">
      <c r="A56" s="14">
        <v>52</v>
      </c>
      <c r="B56" s="14" t="s">
        <v>146</v>
      </c>
      <c r="C56" s="14" t="s">
        <v>124</v>
      </c>
      <c r="D56" s="15" t="s">
        <v>29</v>
      </c>
      <c r="E56" s="15" t="s">
        <v>30</v>
      </c>
      <c r="F56" s="15" t="s">
        <v>149</v>
      </c>
      <c r="G56" s="14" t="s">
        <v>32</v>
      </c>
      <c r="H56" s="15" t="s">
        <v>33</v>
      </c>
      <c r="I56" s="16">
        <v>2000</v>
      </c>
      <c r="J56" s="16"/>
      <c r="K56" s="17">
        <v>-2806.950000000003</v>
      </c>
    </row>
    <row r="57" spans="1:11" x14ac:dyDescent="0.3">
      <c r="A57" s="14">
        <v>53</v>
      </c>
      <c r="B57" s="14" t="s">
        <v>150</v>
      </c>
      <c r="C57" s="14" t="s">
        <v>124</v>
      </c>
      <c r="D57" s="15" t="s">
        <v>67</v>
      </c>
      <c r="E57" s="15" t="s">
        <v>68</v>
      </c>
      <c r="F57" s="15" t="s">
        <v>69</v>
      </c>
      <c r="G57" s="14" t="s">
        <v>70</v>
      </c>
      <c r="H57" s="15" t="s">
        <v>71</v>
      </c>
      <c r="I57" s="16">
        <v>5.3</v>
      </c>
      <c r="J57" s="16"/>
      <c r="K57" s="17">
        <v>-2812.2500000000041</v>
      </c>
    </row>
    <row r="58" spans="1:11" x14ac:dyDescent="0.3">
      <c r="A58" s="14">
        <v>54</v>
      </c>
      <c r="B58" s="14" t="s">
        <v>150</v>
      </c>
      <c r="C58" s="14" t="s">
        <v>124</v>
      </c>
      <c r="D58" s="15" t="s">
        <v>72</v>
      </c>
      <c r="E58" s="15" t="s">
        <v>73</v>
      </c>
      <c r="F58" s="15" t="s">
        <v>74</v>
      </c>
      <c r="G58" s="14" t="s">
        <v>75</v>
      </c>
      <c r="H58" s="15" t="s">
        <v>72</v>
      </c>
      <c r="I58" s="16">
        <v>1962</v>
      </c>
      <c r="J58" s="16"/>
      <c r="K58" s="17">
        <v>-4774.2500000000036</v>
      </c>
    </row>
    <row r="59" spans="1:11" x14ac:dyDescent="0.3">
      <c r="A59" s="14">
        <v>55</v>
      </c>
      <c r="B59" s="14" t="s">
        <v>150</v>
      </c>
      <c r="C59" s="14" t="s">
        <v>124</v>
      </c>
      <c r="D59" s="15" t="s">
        <v>141</v>
      </c>
      <c r="E59" s="15" t="s">
        <v>142</v>
      </c>
      <c r="F59" s="15" t="s">
        <v>151</v>
      </c>
      <c r="G59" s="14" t="s">
        <v>144</v>
      </c>
      <c r="H59" s="15" t="s">
        <v>145</v>
      </c>
      <c r="I59" s="16">
        <v>30</v>
      </c>
      <c r="J59" s="16"/>
      <c r="K59" s="17">
        <v>-4804.2500000000036</v>
      </c>
    </row>
    <row r="60" spans="1:11" x14ac:dyDescent="0.3">
      <c r="A60" s="6">
        <v>56</v>
      </c>
      <c r="B60" s="6" t="s">
        <v>152</v>
      </c>
      <c r="C60" s="6" t="s">
        <v>153</v>
      </c>
      <c r="D60" s="7" t="s">
        <v>19</v>
      </c>
      <c r="E60" s="7" t="s">
        <v>20</v>
      </c>
      <c r="F60" s="7" t="s">
        <v>21</v>
      </c>
      <c r="G60" s="6" t="s">
        <v>22</v>
      </c>
      <c r="H60" s="7" t="s">
        <v>19</v>
      </c>
      <c r="I60" s="8">
        <v>930</v>
      </c>
      <c r="J60" s="8"/>
      <c r="K60" s="9">
        <v>-5734.2500000000036</v>
      </c>
    </row>
    <row r="61" spans="1:11" x14ac:dyDescent="0.3">
      <c r="A61" s="6">
        <v>57</v>
      </c>
      <c r="B61" s="6" t="s">
        <v>154</v>
      </c>
      <c r="C61" s="6" t="s">
        <v>153</v>
      </c>
      <c r="D61" s="7" t="s">
        <v>155</v>
      </c>
      <c r="E61" s="7" t="s">
        <v>25</v>
      </c>
      <c r="F61" s="7" t="s">
        <v>156</v>
      </c>
      <c r="G61" s="6" t="s">
        <v>27</v>
      </c>
      <c r="H61" s="7" t="s">
        <v>28</v>
      </c>
      <c r="I61" s="8"/>
      <c r="J61" s="8">
        <v>25550.29</v>
      </c>
      <c r="K61" s="8">
        <v>19816.04</v>
      </c>
    </row>
    <row r="62" spans="1:11" x14ac:dyDescent="0.3">
      <c r="A62" s="6">
        <v>58</v>
      </c>
      <c r="B62" s="6" t="s">
        <v>157</v>
      </c>
      <c r="C62" s="6" t="s">
        <v>153</v>
      </c>
      <c r="D62" s="7" t="s">
        <v>29</v>
      </c>
      <c r="E62" s="7" t="s">
        <v>30</v>
      </c>
      <c r="F62" s="7" t="s">
        <v>158</v>
      </c>
      <c r="G62" s="6" t="s">
        <v>32</v>
      </c>
      <c r="H62" s="7" t="s">
        <v>33</v>
      </c>
      <c r="I62" s="8">
        <v>5000</v>
      </c>
      <c r="J62" s="8"/>
      <c r="K62" s="8">
        <v>14816.04</v>
      </c>
    </row>
    <row r="63" spans="1:11" x14ac:dyDescent="0.3">
      <c r="A63" s="6">
        <v>59</v>
      </c>
      <c r="B63" s="6" t="s">
        <v>157</v>
      </c>
      <c r="C63" s="6" t="s">
        <v>153</v>
      </c>
      <c r="D63" s="7" t="s">
        <v>159</v>
      </c>
      <c r="E63" s="7" t="s">
        <v>102</v>
      </c>
      <c r="F63" s="7" t="s">
        <v>160</v>
      </c>
      <c r="G63" s="6" t="s">
        <v>104</v>
      </c>
      <c r="H63" s="7" t="s">
        <v>105</v>
      </c>
      <c r="I63" s="8">
        <v>5000</v>
      </c>
      <c r="J63" s="8"/>
      <c r="K63" s="8">
        <v>9816.0399999999972</v>
      </c>
    </row>
    <row r="64" spans="1:11" x14ac:dyDescent="0.3">
      <c r="A64" s="6">
        <v>60</v>
      </c>
      <c r="B64" s="6" t="s">
        <v>157</v>
      </c>
      <c r="C64" s="6" t="s">
        <v>153</v>
      </c>
      <c r="D64" s="7" t="s">
        <v>87</v>
      </c>
      <c r="E64" s="7" t="s">
        <v>88</v>
      </c>
      <c r="F64" s="7" t="s">
        <v>161</v>
      </c>
      <c r="G64" s="6" t="s">
        <v>47</v>
      </c>
      <c r="H64" s="7" t="s">
        <v>48</v>
      </c>
      <c r="I64" s="8">
        <v>2068</v>
      </c>
      <c r="J64" s="8"/>
      <c r="K64" s="8">
        <v>7748.0399999999972</v>
      </c>
    </row>
    <row r="65" spans="1:11" x14ac:dyDescent="0.3">
      <c r="A65" s="6">
        <v>61</v>
      </c>
      <c r="B65" s="6" t="s">
        <v>157</v>
      </c>
      <c r="C65" s="6" t="s">
        <v>153</v>
      </c>
      <c r="D65" s="7" t="s">
        <v>162</v>
      </c>
      <c r="E65" s="7" t="s">
        <v>163</v>
      </c>
      <c r="F65" s="7" t="s">
        <v>164</v>
      </c>
      <c r="G65" s="6" t="s">
        <v>165</v>
      </c>
      <c r="H65" s="7" t="s">
        <v>166</v>
      </c>
      <c r="I65" s="8">
        <v>546</v>
      </c>
      <c r="J65" s="8"/>
      <c r="K65" s="8">
        <v>7202.0399999999972</v>
      </c>
    </row>
    <row r="66" spans="1:11" x14ac:dyDescent="0.3">
      <c r="A66" s="6">
        <v>62</v>
      </c>
      <c r="B66" s="6" t="s">
        <v>157</v>
      </c>
      <c r="C66" s="6" t="s">
        <v>153</v>
      </c>
      <c r="D66" s="7" t="s">
        <v>29</v>
      </c>
      <c r="E66" s="7" t="s">
        <v>30</v>
      </c>
      <c r="F66" s="7" t="s">
        <v>167</v>
      </c>
      <c r="G66" s="6" t="s">
        <v>32</v>
      </c>
      <c r="H66" s="7" t="s">
        <v>33</v>
      </c>
      <c r="I66" s="8">
        <v>5000</v>
      </c>
      <c r="J66" s="8"/>
      <c r="K66" s="8">
        <v>2202.0399999999968</v>
      </c>
    </row>
    <row r="67" spans="1:11" x14ac:dyDescent="0.3">
      <c r="A67" s="6">
        <v>63</v>
      </c>
      <c r="B67" s="6" t="s">
        <v>168</v>
      </c>
      <c r="C67" s="6" t="s">
        <v>153</v>
      </c>
      <c r="D67" s="7" t="s">
        <v>169</v>
      </c>
      <c r="E67" s="7" t="s">
        <v>170</v>
      </c>
      <c r="F67" s="7" t="s">
        <v>171</v>
      </c>
      <c r="G67" s="6" t="s">
        <v>172</v>
      </c>
      <c r="H67" s="7" t="s">
        <v>173</v>
      </c>
      <c r="I67" s="8">
        <v>823.8</v>
      </c>
      <c r="J67" s="8"/>
      <c r="K67" s="8">
        <v>1378.2399999999971</v>
      </c>
    </row>
    <row r="68" spans="1:11" x14ac:dyDescent="0.3">
      <c r="A68" s="6">
        <v>64</v>
      </c>
      <c r="B68" s="6" t="s">
        <v>174</v>
      </c>
      <c r="C68" s="6" t="s">
        <v>153</v>
      </c>
      <c r="D68" s="7" t="s">
        <v>175</v>
      </c>
      <c r="E68" s="7" t="s">
        <v>54</v>
      </c>
      <c r="F68" s="7" t="s">
        <v>176</v>
      </c>
      <c r="G68" s="6" t="s">
        <v>177</v>
      </c>
      <c r="H68" s="7" t="s">
        <v>178</v>
      </c>
      <c r="I68" s="8"/>
      <c r="J68" s="8">
        <v>15000</v>
      </c>
      <c r="K68" s="8">
        <v>16378.24</v>
      </c>
    </row>
    <row r="69" spans="1:11" x14ac:dyDescent="0.3">
      <c r="A69" s="6">
        <v>65</v>
      </c>
      <c r="B69" s="6" t="s">
        <v>174</v>
      </c>
      <c r="C69" s="6" t="s">
        <v>153</v>
      </c>
      <c r="D69" s="7" t="s">
        <v>147</v>
      </c>
      <c r="E69" s="7" t="s">
        <v>54</v>
      </c>
      <c r="F69" s="7" t="s">
        <v>179</v>
      </c>
      <c r="G69" s="6" t="s">
        <v>56</v>
      </c>
      <c r="H69" s="7" t="s">
        <v>57</v>
      </c>
      <c r="I69" s="8"/>
      <c r="J69" s="8">
        <v>1962</v>
      </c>
      <c r="K69" s="8">
        <v>18340.240000000002</v>
      </c>
    </row>
    <row r="70" spans="1:11" x14ac:dyDescent="0.3">
      <c r="A70" s="6">
        <v>66</v>
      </c>
      <c r="B70" s="6" t="s">
        <v>174</v>
      </c>
      <c r="C70" s="6" t="s">
        <v>153</v>
      </c>
      <c r="D70" s="7" t="s">
        <v>29</v>
      </c>
      <c r="E70" s="7" t="s">
        <v>30</v>
      </c>
      <c r="F70" s="7" t="s">
        <v>180</v>
      </c>
      <c r="G70" s="6" t="s">
        <v>32</v>
      </c>
      <c r="H70" s="7" t="s">
        <v>33</v>
      </c>
      <c r="I70" s="8">
        <v>10000</v>
      </c>
      <c r="J70" s="8"/>
      <c r="K70" s="8">
        <v>8340.239999999998</v>
      </c>
    </row>
    <row r="71" spans="1:11" x14ac:dyDescent="0.3">
      <c r="A71" s="6">
        <v>67</v>
      </c>
      <c r="B71" s="6" t="s">
        <v>174</v>
      </c>
      <c r="C71" s="6" t="s">
        <v>153</v>
      </c>
      <c r="D71" s="7" t="s">
        <v>181</v>
      </c>
      <c r="E71" s="7" t="s">
        <v>182</v>
      </c>
      <c r="F71" s="7" t="s">
        <v>183</v>
      </c>
      <c r="G71" s="6" t="s">
        <v>144</v>
      </c>
      <c r="H71" s="7" t="s">
        <v>145</v>
      </c>
      <c r="I71" s="8">
        <v>3877</v>
      </c>
      <c r="J71" s="8"/>
      <c r="K71" s="8">
        <v>4463.239999999998</v>
      </c>
    </row>
    <row r="72" spans="1:11" x14ac:dyDescent="0.3">
      <c r="A72" s="6">
        <v>68</v>
      </c>
      <c r="B72" s="6" t="s">
        <v>184</v>
      </c>
      <c r="C72" s="6" t="s">
        <v>153</v>
      </c>
      <c r="D72" s="7" t="s">
        <v>67</v>
      </c>
      <c r="E72" s="7" t="s">
        <v>68</v>
      </c>
      <c r="F72" s="7" t="s">
        <v>69</v>
      </c>
      <c r="G72" s="6" t="s">
        <v>70</v>
      </c>
      <c r="H72" s="7" t="s">
        <v>71</v>
      </c>
      <c r="I72" s="8">
        <v>5.3</v>
      </c>
      <c r="J72" s="8"/>
      <c r="K72" s="8">
        <v>4457.9399999999978</v>
      </c>
    </row>
    <row r="73" spans="1:11" x14ac:dyDescent="0.3">
      <c r="A73" s="6">
        <v>69</v>
      </c>
      <c r="B73" s="6" t="s">
        <v>184</v>
      </c>
      <c r="C73" s="6" t="s">
        <v>153</v>
      </c>
      <c r="D73" s="7" t="s">
        <v>72</v>
      </c>
      <c r="E73" s="7" t="s">
        <v>73</v>
      </c>
      <c r="F73" s="7" t="s">
        <v>74</v>
      </c>
      <c r="G73" s="6" t="s">
        <v>75</v>
      </c>
      <c r="H73" s="7" t="s">
        <v>72</v>
      </c>
      <c r="I73" s="8">
        <v>1561</v>
      </c>
      <c r="J73" s="8"/>
      <c r="K73" s="8">
        <v>2896.9399999999978</v>
      </c>
    </row>
    <row r="74" spans="1:11" x14ac:dyDescent="0.3">
      <c r="A74" s="6">
        <v>70</v>
      </c>
      <c r="B74" s="6" t="s">
        <v>185</v>
      </c>
      <c r="C74" s="6" t="s">
        <v>153</v>
      </c>
      <c r="D74" s="7" t="s">
        <v>107</v>
      </c>
      <c r="E74" s="7" t="s">
        <v>108</v>
      </c>
      <c r="F74" s="7" t="s">
        <v>186</v>
      </c>
      <c r="G74" s="6" t="s">
        <v>110</v>
      </c>
      <c r="H74" s="7" t="s">
        <v>111</v>
      </c>
      <c r="I74" s="8"/>
      <c r="J74" s="8">
        <v>51.27</v>
      </c>
      <c r="K74" s="8">
        <v>2948.2099999999982</v>
      </c>
    </row>
    <row r="75" spans="1:11" x14ac:dyDescent="0.3">
      <c r="A75" s="6">
        <v>71</v>
      </c>
      <c r="B75" s="6" t="s">
        <v>187</v>
      </c>
      <c r="C75" s="6" t="s">
        <v>153</v>
      </c>
      <c r="D75" s="7" t="s">
        <v>29</v>
      </c>
      <c r="E75" s="7" t="s">
        <v>30</v>
      </c>
      <c r="F75" s="7" t="s">
        <v>188</v>
      </c>
      <c r="G75" s="6" t="s">
        <v>32</v>
      </c>
      <c r="H75" s="7" t="s">
        <v>33</v>
      </c>
      <c r="I75" s="8">
        <v>1000</v>
      </c>
      <c r="J75" s="8"/>
      <c r="K75" s="8">
        <v>1948.209999999998</v>
      </c>
    </row>
    <row r="76" spans="1:11" x14ac:dyDescent="0.3">
      <c r="A76" s="6">
        <v>72</v>
      </c>
      <c r="B76" s="6" t="s">
        <v>189</v>
      </c>
      <c r="C76" s="6" t="s">
        <v>153</v>
      </c>
      <c r="D76" s="7" t="s">
        <v>29</v>
      </c>
      <c r="E76" s="7" t="s">
        <v>30</v>
      </c>
      <c r="F76" s="7" t="s">
        <v>190</v>
      </c>
      <c r="G76" s="6" t="s">
        <v>32</v>
      </c>
      <c r="H76" s="7" t="s">
        <v>33</v>
      </c>
      <c r="I76" s="8">
        <v>2000</v>
      </c>
      <c r="J76" s="8"/>
      <c r="K76" s="9">
        <v>-51.790000000002237</v>
      </c>
    </row>
    <row r="77" spans="1:11" x14ac:dyDescent="0.3">
      <c r="A77" s="6">
        <v>73</v>
      </c>
      <c r="B77" s="6" t="s">
        <v>191</v>
      </c>
      <c r="C77" s="6" t="s">
        <v>153</v>
      </c>
      <c r="D77" s="7" t="s">
        <v>175</v>
      </c>
      <c r="E77" s="7" t="s">
        <v>54</v>
      </c>
      <c r="F77" s="7" t="s">
        <v>176</v>
      </c>
      <c r="G77" s="6" t="s">
        <v>177</v>
      </c>
      <c r="H77" s="7" t="s">
        <v>178</v>
      </c>
      <c r="I77" s="8"/>
      <c r="J77" s="8">
        <v>20000</v>
      </c>
      <c r="K77" s="8">
        <v>19948.21</v>
      </c>
    </row>
    <row r="78" spans="1:11" x14ac:dyDescent="0.3">
      <c r="A78" s="6">
        <v>74</v>
      </c>
      <c r="B78" s="6" t="s">
        <v>191</v>
      </c>
      <c r="C78" s="6" t="s">
        <v>153</v>
      </c>
      <c r="D78" s="7" t="s">
        <v>29</v>
      </c>
      <c r="E78" s="7" t="s">
        <v>30</v>
      </c>
      <c r="F78" s="7" t="s">
        <v>192</v>
      </c>
      <c r="G78" s="6" t="s">
        <v>32</v>
      </c>
      <c r="H78" s="7" t="s">
        <v>33</v>
      </c>
      <c r="I78" s="8">
        <v>10000</v>
      </c>
      <c r="J78" s="8"/>
      <c r="K78" s="8">
        <v>9948.2099999999991</v>
      </c>
    </row>
    <row r="79" spans="1:11" x14ac:dyDescent="0.3">
      <c r="A79" s="6">
        <v>75</v>
      </c>
      <c r="B79" s="6" t="s">
        <v>191</v>
      </c>
      <c r="C79" s="6" t="s">
        <v>153</v>
      </c>
      <c r="D79" s="7" t="s">
        <v>29</v>
      </c>
      <c r="E79" s="7" t="s">
        <v>30</v>
      </c>
      <c r="F79" s="7" t="s">
        <v>193</v>
      </c>
      <c r="G79" s="6" t="s">
        <v>32</v>
      </c>
      <c r="H79" s="7" t="s">
        <v>33</v>
      </c>
      <c r="I79" s="8">
        <v>10000</v>
      </c>
      <c r="J79" s="8"/>
      <c r="K79" s="9">
        <v>-51.790000000000873</v>
      </c>
    </row>
    <row r="80" spans="1:11" x14ac:dyDescent="0.3">
      <c r="A80" s="6">
        <v>76</v>
      </c>
      <c r="B80" s="6" t="s">
        <v>194</v>
      </c>
      <c r="C80" s="6" t="s">
        <v>153</v>
      </c>
      <c r="D80" s="7" t="s">
        <v>67</v>
      </c>
      <c r="E80" s="7" t="s">
        <v>68</v>
      </c>
      <c r="F80" s="7" t="s">
        <v>69</v>
      </c>
      <c r="G80" s="6" t="s">
        <v>70</v>
      </c>
      <c r="H80" s="7" t="s">
        <v>71</v>
      </c>
      <c r="I80" s="8">
        <v>5.3</v>
      </c>
      <c r="J80" s="8"/>
      <c r="K80" s="9">
        <v>-57.09000000000087</v>
      </c>
    </row>
    <row r="81" spans="1:11" x14ac:dyDescent="0.3">
      <c r="A81" s="6">
        <v>77</v>
      </c>
      <c r="B81" s="6" t="s">
        <v>194</v>
      </c>
      <c r="C81" s="6" t="s">
        <v>153</v>
      </c>
      <c r="D81" s="7" t="s">
        <v>72</v>
      </c>
      <c r="E81" s="7" t="s">
        <v>73</v>
      </c>
      <c r="F81" s="7" t="s">
        <v>74</v>
      </c>
      <c r="G81" s="6" t="s">
        <v>75</v>
      </c>
      <c r="H81" s="7" t="s">
        <v>72</v>
      </c>
      <c r="I81" s="8">
        <v>1962</v>
      </c>
      <c r="J81" s="8"/>
      <c r="K81" s="9">
        <v>-2019.0900000000011</v>
      </c>
    </row>
    <row r="82" spans="1:11" x14ac:dyDescent="0.3">
      <c r="A82" s="6">
        <v>78</v>
      </c>
      <c r="B82" s="6" t="s">
        <v>194</v>
      </c>
      <c r="C82" s="6" t="s">
        <v>153</v>
      </c>
      <c r="D82" s="7" t="s">
        <v>195</v>
      </c>
      <c r="E82" s="7" t="s">
        <v>128</v>
      </c>
      <c r="F82" s="7" t="s">
        <v>196</v>
      </c>
      <c r="G82" s="6" t="s">
        <v>32</v>
      </c>
      <c r="H82" s="7" t="s">
        <v>33</v>
      </c>
      <c r="I82" s="8">
        <v>500</v>
      </c>
      <c r="J82" s="8"/>
      <c r="K82" s="9">
        <v>-2519.0900000000011</v>
      </c>
    </row>
    <row r="83" spans="1:11" x14ac:dyDescent="0.3">
      <c r="A83" s="6">
        <v>79</v>
      </c>
      <c r="B83" s="6" t="s">
        <v>194</v>
      </c>
      <c r="C83" s="6" t="s">
        <v>153</v>
      </c>
      <c r="D83" s="7" t="s">
        <v>197</v>
      </c>
      <c r="E83" s="7" t="s">
        <v>198</v>
      </c>
      <c r="F83" s="7" t="s">
        <v>199</v>
      </c>
      <c r="G83" s="6" t="s">
        <v>144</v>
      </c>
      <c r="H83" s="7" t="s">
        <v>145</v>
      </c>
      <c r="I83" s="8">
        <v>300</v>
      </c>
      <c r="J83" s="8"/>
      <c r="K83" s="9">
        <v>-2819.0900000000011</v>
      </c>
    </row>
    <row r="84" spans="1:11" x14ac:dyDescent="0.3">
      <c r="A84" s="6">
        <v>80</v>
      </c>
      <c r="B84" s="6" t="s">
        <v>200</v>
      </c>
      <c r="C84" s="6" t="s">
        <v>153</v>
      </c>
      <c r="D84" s="7" t="s">
        <v>201</v>
      </c>
      <c r="E84" s="7" t="s">
        <v>202</v>
      </c>
      <c r="F84" s="7" t="s">
        <v>203</v>
      </c>
      <c r="G84" s="6" t="s">
        <v>204</v>
      </c>
      <c r="H84" s="7" t="s">
        <v>205</v>
      </c>
      <c r="I84" s="8">
        <v>1693.6</v>
      </c>
      <c r="J84" s="8"/>
      <c r="K84" s="9">
        <v>-4512.6900000000014</v>
      </c>
    </row>
    <row r="85" spans="1:11" x14ac:dyDescent="0.3">
      <c r="A85" s="6">
        <v>81</v>
      </c>
      <c r="B85" s="6" t="s">
        <v>200</v>
      </c>
      <c r="C85" s="6" t="s">
        <v>153</v>
      </c>
      <c r="D85" s="7" t="s">
        <v>29</v>
      </c>
      <c r="E85" s="7" t="s">
        <v>30</v>
      </c>
      <c r="F85" s="7" t="s">
        <v>206</v>
      </c>
      <c r="G85" s="6" t="s">
        <v>32</v>
      </c>
      <c r="H85" s="7" t="s">
        <v>33</v>
      </c>
      <c r="I85" s="8">
        <v>480</v>
      </c>
      <c r="J85" s="8"/>
      <c r="K85" s="9">
        <v>-4992.6900000000014</v>
      </c>
    </row>
    <row r="86" spans="1:11" x14ac:dyDescent="0.3">
      <c r="A86" s="10">
        <v>82</v>
      </c>
      <c r="B86" s="10" t="s">
        <v>207</v>
      </c>
      <c r="C86" s="10" t="s">
        <v>208</v>
      </c>
      <c r="D86" s="11" t="s">
        <v>19</v>
      </c>
      <c r="E86" s="11" t="s">
        <v>20</v>
      </c>
      <c r="F86" s="11" t="s">
        <v>21</v>
      </c>
      <c r="G86" s="10" t="s">
        <v>22</v>
      </c>
      <c r="H86" s="11" t="s">
        <v>19</v>
      </c>
      <c r="I86" s="12">
        <v>930</v>
      </c>
      <c r="J86" s="12"/>
      <c r="K86" s="13">
        <v>-5922.6900000000014</v>
      </c>
    </row>
    <row r="87" spans="1:11" x14ac:dyDescent="0.3">
      <c r="A87" s="10">
        <v>83</v>
      </c>
      <c r="B87" s="10" t="s">
        <v>209</v>
      </c>
      <c r="C87" s="10" t="s">
        <v>208</v>
      </c>
      <c r="D87" s="11" t="s">
        <v>210</v>
      </c>
      <c r="E87" s="11" t="s">
        <v>142</v>
      </c>
      <c r="F87" s="11" t="s">
        <v>211</v>
      </c>
      <c r="G87" s="10" t="s">
        <v>144</v>
      </c>
      <c r="H87" s="11" t="s">
        <v>145</v>
      </c>
      <c r="I87" s="12">
        <v>500</v>
      </c>
      <c r="J87" s="12"/>
      <c r="K87" s="13">
        <v>-6422.6900000000014</v>
      </c>
    </row>
    <row r="88" spans="1:11" x14ac:dyDescent="0.3">
      <c r="A88" s="10">
        <v>84</v>
      </c>
      <c r="B88" s="10" t="s">
        <v>209</v>
      </c>
      <c r="C88" s="10" t="s">
        <v>208</v>
      </c>
      <c r="D88" s="11" t="s">
        <v>212</v>
      </c>
      <c r="E88" s="11" t="s">
        <v>102</v>
      </c>
      <c r="F88" s="11" t="s">
        <v>213</v>
      </c>
      <c r="G88" s="10" t="s">
        <v>104</v>
      </c>
      <c r="H88" s="11" t="s">
        <v>105</v>
      </c>
      <c r="I88" s="12">
        <v>4000</v>
      </c>
      <c r="J88" s="12"/>
      <c r="K88" s="13">
        <v>-10422.69</v>
      </c>
    </row>
    <row r="89" spans="1:11" x14ac:dyDescent="0.3">
      <c r="A89" s="10">
        <v>85</v>
      </c>
      <c r="B89" s="10" t="s">
        <v>209</v>
      </c>
      <c r="C89" s="10" t="s">
        <v>208</v>
      </c>
      <c r="D89" s="11" t="s">
        <v>214</v>
      </c>
      <c r="E89" s="11" t="s">
        <v>102</v>
      </c>
      <c r="F89" s="11" t="s">
        <v>215</v>
      </c>
      <c r="G89" s="10" t="s">
        <v>47</v>
      </c>
      <c r="H89" s="11" t="s">
        <v>48</v>
      </c>
      <c r="I89" s="12">
        <v>300</v>
      </c>
      <c r="J89" s="12"/>
      <c r="K89" s="13">
        <v>-10722.69</v>
      </c>
    </row>
    <row r="90" spans="1:11" x14ac:dyDescent="0.3">
      <c r="A90" s="10">
        <v>86</v>
      </c>
      <c r="B90" s="10" t="s">
        <v>216</v>
      </c>
      <c r="C90" s="10" t="s">
        <v>208</v>
      </c>
      <c r="D90" s="11" t="s">
        <v>217</v>
      </c>
      <c r="E90" s="11" t="s">
        <v>25</v>
      </c>
      <c r="F90" s="11" t="s">
        <v>218</v>
      </c>
      <c r="G90" s="10" t="s">
        <v>27</v>
      </c>
      <c r="H90" s="11" t="s">
        <v>28</v>
      </c>
      <c r="I90" s="12"/>
      <c r="J90" s="12">
        <v>15201.3</v>
      </c>
      <c r="K90" s="12">
        <v>4478.6099999999988</v>
      </c>
    </row>
    <row r="91" spans="1:11" x14ac:dyDescent="0.3">
      <c r="A91" s="10">
        <v>87</v>
      </c>
      <c r="B91" s="10" t="s">
        <v>216</v>
      </c>
      <c r="C91" s="10" t="s">
        <v>208</v>
      </c>
      <c r="D91" s="11" t="s">
        <v>29</v>
      </c>
      <c r="E91" s="11" t="s">
        <v>30</v>
      </c>
      <c r="F91" s="11" t="s">
        <v>219</v>
      </c>
      <c r="G91" s="10" t="s">
        <v>32</v>
      </c>
      <c r="H91" s="11" t="s">
        <v>33</v>
      </c>
      <c r="I91" s="12">
        <v>5000</v>
      </c>
      <c r="J91" s="12"/>
      <c r="K91" s="13">
        <v>-521.39000000000124</v>
      </c>
    </row>
    <row r="92" spans="1:11" x14ac:dyDescent="0.3">
      <c r="A92" s="10">
        <v>88</v>
      </c>
      <c r="B92" s="10" t="s">
        <v>220</v>
      </c>
      <c r="C92" s="10" t="s">
        <v>208</v>
      </c>
      <c r="D92" s="11" t="s">
        <v>221</v>
      </c>
      <c r="E92" s="11" t="s">
        <v>222</v>
      </c>
      <c r="F92" s="11" t="s">
        <v>223</v>
      </c>
      <c r="G92" s="10" t="s">
        <v>144</v>
      </c>
      <c r="H92" s="11" t="s">
        <v>145</v>
      </c>
      <c r="I92" s="12">
        <v>40</v>
      </c>
      <c r="J92" s="12"/>
      <c r="K92" s="13">
        <v>-561.39000000000124</v>
      </c>
    </row>
    <row r="93" spans="1:11" x14ac:dyDescent="0.3">
      <c r="A93" s="10">
        <v>89</v>
      </c>
      <c r="B93" s="10" t="s">
        <v>224</v>
      </c>
      <c r="C93" s="10" t="s">
        <v>208</v>
      </c>
      <c r="D93" s="11" t="s">
        <v>82</v>
      </c>
      <c r="E93" s="11" t="s">
        <v>30</v>
      </c>
      <c r="F93" s="11" t="s">
        <v>225</v>
      </c>
      <c r="G93" s="10" t="s">
        <v>84</v>
      </c>
      <c r="H93" s="11" t="s">
        <v>85</v>
      </c>
      <c r="I93" s="12"/>
      <c r="J93" s="12">
        <v>5000</v>
      </c>
      <c r="K93" s="12">
        <v>4438.6099999999988</v>
      </c>
    </row>
    <row r="94" spans="1:11" x14ac:dyDescent="0.3">
      <c r="A94" s="10">
        <v>90</v>
      </c>
      <c r="B94" s="10" t="s">
        <v>224</v>
      </c>
      <c r="C94" s="10" t="s">
        <v>208</v>
      </c>
      <c r="D94" s="11" t="s">
        <v>226</v>
      </c>
      <c r="E94" s="11" t="s">
        <v>227</v>
      </c>
      <c r="F94" s="11" t="s">
        <v>228</v>
      </c>
      <c r="G94" s="10" t="s">
        <v>229</v>
      </c>
      <c r="H94" s="11" t="s">
        <v>230</v>
      </c>
      <c r="I94" s="12">
        <v>6000</v>
      </c>
      <c r="J94" s="12"/>
      <c r="K94" s="13">
        <v>-1561.390000000001</v>
      </c>
    </row>
    <row r="95" spans="1:11" x14ac:dyDescent="0.3">
      <c r="A95" s="10">
        <v>91</v>
      </c>
      <c r="B95" s="10" t="s">
        <v>231</v>
      </c>
      <c r="C95" s="10" t="s">
        <v>208</v>
      </c>
      <c r="D95" s="11" t="s">
        <v>58</v>
      </c>
      <c r="E95" s="11" t="s">
        <v>54</v>
      </c>
      <c r="F95" s="11" t="s">
        <v>232</v>
      </c>
      <c r="G95" s="10" t="s">
        <v>60</v>
      </c>
      <c r="H95" s="11" t="s">
        <v>61</v>
      </c>
      <c r="I95" s="12"/>
      <c r="J95" s="12">
        <v>1962</v>
      </c>
      <c r="K95" s="12">
        <v>400.60999999999882</v>
      </c>
    </row>
    <row r="96" spans="1:11" x14ac:dyDescent="0.3">
      <c r="A96" s="10">
        <v>92</v>
      </c>
      <c r="B96" s="10" t="s">
        <v>231</v>
      </c>
      <c r="C96" s="10" t="s">
        <v>208</v>
      </c>
      <c r="D96" s="11" t="s">
        <v>58</v>
      </c>
      <c r="E96" s="11" t="s">
        <v>54</v>
      </c>
      <c r="F96" s="11" t="s">
        <v>233</v>
      </c>
      <c r="G96" s="10" t="s">
        <v>60</v>
      </c>
      <c r="H96" s="11" t="s">
        <v>61</v>
      </c>
      <c r="I96" s="12"/>
      <c r="J96" s="12">
        <v>1962</v>
      </c>
      <c r="K96" s="12">
        <v>2362.6099999999992</v>
      </c>
    </row>
    <row r="97" spans="1:11" x14ac:dyDescent="0.3">
      <c r="A97" s="10">
        <v>93</v>
      </c>
      <c r="B97" s="10" t="s">
        <v>231</v>
      </c>
      <c r="C97" s="10" t="s">
        <v>208</v>
      </c>
      <c r="D97" s="11" t="s">
        <v>178</v>
      </c>
      <c r="E97" s="11" t="s">
        <v>54</v>
      </c>
      <c r="F97" s="11" t="s">
        <v>234</v>
      </c>
      <c r="G97" s="10" t="s">
        <v>177</v>
      </c>
      <c r="H97" s="11" t="s">
        <v>178</v>
      </c>
      <c r="I97" s="12"/>
      <c r="J97" s="12">
        <v>10000</v>
      </c>
      <c r="K97" s="12">
        <v>12362.61</v>
      </c>
    </row>
    <row r="98" spans="1:11" x14ac:dyDescent="0.3">
      <c r="A98" s="10">
        <v>94</v>
      </c>
      <c r="B98" s="10" t="s">
        <v>231</v>
      </c>
      <c r="C98" s="10" t="s">
        <v>208</v>
      </c>
      <c r="D98" s="11" t="s">
        <v>29</v>
      </c>
      <c r="E98" s="11" t="s">
        <v>30</v>
      </c>
      <c r="F98" s="11" t="s">
        <v>235</v>
      </c>
      <c r="G98" s="10" t="s">
        <v>32</v>
      </c>
      <c r="H98" s="11" t="s">
        <v>33</v>
      </c>
      <c r="I98" s="12">
        <v>4000</v>
      </c>
      <c r="J98" s="12"/>
      <c r="K98" s="12">
        <v>8362.6099999999988</v>
      </c>
    </row>
    <row r="99" spans="1:11" x14ac:dyDescent="0.3">
      <c r="A99" s="10">
        <v>95</v>
      </c>
      <c r="B99" s="10" t="s">
        <v>231</v>
      </c>
      <c r="C99" s="10" t="s">
        <v>208</v>
      </c>
      <c r="D99" s="11" t="s">
        <v>29</v>
      </c>
      <c r="E99" s="11" t="s">
        <v>30</v>
      </c>
      <c r="F99" s="11" t="s">
        <v>236</v>
      </c>
      <c r="G99" s="10" t="s">
        <v>32</v>
      </c>
      <c r="H99" s="11" t="s">
        <v>33</v>
      </c>
      <c r="I99" s="12">
        <v>10000</v>
      </c>
      <c r="J99" s="12"/>
      <c r="K99" s="13">
        <v>-1637.390000000001</v>
      </c>
    </row>
    <row r="100" spans="1:11" x14ac:dyDescent="0.3">
      <c r="A100" s="10">
        <v>96</v>
      </c>
      <c r="B100" s="10" t="s">
        <v>237</v>
      </c>
      <c r="C100" s="10" t="s">
        <v>208</v>
      </c>
      <c r="D100" s="11" t="s">
        <v>82</v>
      </c>
      <c r="E100" s="11" t="s">
        <v>30</v>
      </c>
      <c r="F100" s="11" t="s">
        <v>238</v>
      </c>
      <c r="G100" s="10" t="s">
        <v>84</v>
      </c>
      <c r="H100" s="11" t="s">
        <v>85</v>
      </c>
      <c r="I100" s="12"/>
      <c r="J100" s="12">
        <v>5000</v>
      </c>
      <c r="K100" s="12">
        <v>3362.6099999999992</v>
      </c>
    </row>
    <row r="101" spans="1:11" x14ac:dyDescent="0.3">
      <c r="A101" s="10">
        <v>97</v>
      </c>
      <c r="B101" s="10" t="s">
        <v>237</v>
      </c>
      <c r="C101" s="10" t="s">
        <v>208</v>
      </c>
      <c r="D101" s="11" t="s">
        <v>239</v>
      </c>
      <c r="E101" s="11" t="s">
        <v>182</v>
      </c>
      <c r="F101" s="11" t="s">
        <v>240</v>
      </c>
      <c r="G101" s="10" t="s">
        <v>144</v>
      </c>
      <c r="H101" s="11" t="s">
        <v>145</v>
      </c>
      <c r="I101" s="12">
        <v>6988</v>
      </c>
      <c r="J101" s="12"/>
      <c r="K101" s="13">
        <v>-3625.3900000000008</v>
      </c>
    </row>
    <row r="102" spans="1:11" x14ac:dyDescent="0.3">
      <c r="A102" s="10">
        <v>98</v>
      </c>
      <c r="B102" s="10" t="s">
        <v>241</v>
      </c>
      <c r="C102" s="10" t="s">
        <v>208</v>
      </c>
      <c r="D102" s="11" t="s">
        <v>67</v>
      </c>
      <c r="E102" s="11" t="s">
        <v>68</v>
      </c>
      <c r="F102" s="11" t="s">
        <v>69</v>
      </c>
      <c r="G102" s="10" t="s">
        <v>70</v>
      </c>
      <c r="H102" s="11" t="s">
        <v>71</v>
      </c>
      <c r="I102" s="12">
        <v>5.3</v>
      </c>
      <c r="J102" s="12"/>
      <c r="K102" s="13">
        <v>-3630.690000000001</v>
      </c>
    </row>
    <row r="103" spans="1:11" x14ac:dyDescent="0.3">
      <c r="A103" s="10">
        <v>99</v>
      </c>
      <c r="B103" s="10" t="s">
        <v>241</v>
      </c>
      <c r="C103" s="10" t="s">
        <v>208</v>
      </c>
      <c r="D103" s="11" t="s">
        <v>72</v>
      </c>
      <c r="E103" s="11" t="s">
        <v>73</v>
      </c>
      <c r="F103" s="11" t="s">
        <v>74</v>
      </c>
      <c r="G103" s="10" t="s">
        <v>75</v>
      </c>
      <c r="H103" s="11" t="s">
        <v>72</v>
      </c>
      <c r="I103" s="12">
        <v>1561</v>
      </c>
      <c r="J103" s="12"/>
      <c r="K103" s="13">
        <v>-5191.6900000000014</v>
      </c>
    </row>
    <row r="104" spans="1:11" x14ac:dyDescent="0.3">
      <c r="A104" s="10">
        <v>100</v>
      </c>
      <c r="B104" s="10" t="s">
        <v>242</v>
      </c>
      <c r="C104" s="10" t="s">
        <v>208</v>
      </c>
      <c r="D104" s="11" t="s">
        <v>82</v>
      </c>
      <c r="E104" s="11" t="s">
        <v>30</v>
      </c>
      <c r="F104" s="11" t="s">
        <v>243</v>
      </c>
      <c r="G104" s="10" t="s">
        <v>84</v>
      </c>
      <c r="H104" s="11" t="s">
        <v>85</v>
      </c>
      <c r="I104" s="12"/>
      <c r="J104" s="12">
        <v>2000</v>
      </c>
      <c r="K104" s="13">
        <v>-3191.690000000001</v>
      </c>
    </row>
    <row r="105" spans="1:11" x14ac:dyDescent="0.3">
      <c r="A105" s="10">
        <v>101</v>
      </c>
      <c r="B105" s="10" t="s">
        <v>242</v>
      </c>
      <c r="C105" s="10" t="s">
        <v>208</v>
      </c>
      <c r="D105" s="11" t="s">
        <v>82</v>
      </c>
      <c r="E105" s="11" t="s">
        <v>30</v>
      </c>
      <c r="F105" s="11" t="s">
        <v>244</v>
      </c>
      <c r="G105" s="10" t="s">
        <v>84</v>
      </c>
      <c r="H105" s="11" t="s">
        <v>85</v>
      </c>
      <c r="I105" s="12"/>
      <c r="J105" s="12">
        <v>2000</v>
      </c>
      <c r="K105" s="13">
        <v>-1191.690000000001</v>
      </c>
    </row>
    <row r="106" spans="1:11" x14ac:dyDescent="0.3">
      <c r="A106" s="10">
        <v>102</v>
      </c>
      <c r="B106" s="10" t="s">
        <v>242</v>
      </c>
      <c r="C106" s="10" t="s">
        <v>208</v>
      </c>
      <c r="D106" s="11" t="s">
        <v>245</v>
      </c>
      <c r="E106" s="11" t="s">
        <v>142</v>
      </c>
      <c r="F106" s="11" t="s">
        <v>246</v>
      </c>
      <c r="G106" s="10" t="s">
        <v>144</v>
      </c>
      <c r="H106" s="11" t="s">
        <v>145</v>
      </c>
      <c r="I106" s="12">
        <v>100</v>
      </c>
      <c r="J106" s="12"/>
      <c r="K106" s="13">
        <v>-1291.690000000001</v>
      </c>
    </row>
    <row r="107" spans="1:11" x14ac:dyDescent="0.3">
      <c r="A107" s="10">
        <v>103</v>
      </c>
      <c r="B107" s="10" t="s">
        <v>247</v>
      </c>
      <c r="C107" s="10" t="s">
        <v>208</v>
      </c>
      <c r="D107" s="11" t="s">
        <v>248</v>
      </c>
      <c r="E107" s="11" t="s">
        <v>142</v>
      </c>
      <c r="F107" s="11" t="s">
        <v>249</v>
      </c>
      <c r="G107" s="10" t="s">
        <v>144</v>
      </c>
      <c r="H107" s="11" t="s">
        <v>145</v>
      </c>
      <c r="I107" s="12">
        <v>80</v>
      </c>
      <c r="J107" s="12"/>
      <c r="K107" s="13">
        <v>-1371.690000000001</v>
      </c>
    </row>
    <row r="108" spans="1:11" x14ac:dyDescent="0.3">
      <c r="A108" s="10">
        <v>104</v>
      </c>
      <c r="B108" s="10" t="s">
        <v>250</v>
      </c>
      <c r="C108" s="10" t="s">
        <v>208</v>
      </c>
      <c r="D108" s="11" t="s">
        <v>251</v>
      </c>
      <c r="E108" s="11" t="s">
        <v>252</v>
      </c>
      <c r="F108" s="11" t="s">
        <v>253</v>
      </c>
      <c r="G108" s="10" t="s">
        <v>254</v>
      </c>
      <c r="H108" s="11" t="s">
        <v>251</v>
      </c>
      <c r="I108" s="12">
        <v>200</v>
      </c>
      <c r="J108" s="12"/>
      <c r="K108" s="13">
        <v>-1571.690000000001</v>
      </c>
    </row>
    <row r="109" spans="1:11" x14ac:dyDescent="0.3">
      <c r="A109" s="10">
        <v>105</v>
      </c>
      <c r="B109" s="10" t="s">
        <v>255</v>
      </c>
      <c r="C109" s="10" t="s">
        <v>208</v>
      </c>
      <c r="D109" s="11" t="s">
        <v>107</v>
      </c>
      <c r="E109" s="11" t="s">
        <v>108</v>
      </c>
      <c r="F109" s="11" t="s">
        <v>256</v>
      </c>
      <c r="G109" s="10" t="s">
        <v>110</v>
      </c>
      <c r="H109" s="11" t="s">
        <v>111</v>
      </c>
      <c r="I109" s="12"/>
      <c r="J109" s="12">
        <v>50.37</v>
      </c>
      <c r="K109" s="13">
        <v>-1521.320000000002</v>
      </c>
    </row>
    <row r="110" spans="1:11" x14ac:dyDescent="0.3">
      <c r="A110" s="10">
        <v>106</v>
      </c>
      <c r="B110" s="10" t="s">
        <v>257</v>
      </c>
      <c r="C110" s="10" t="s">
        <v>208</v>
      </c>
      <c r="D110" s="11" t="s">
        <v>178</v>
      </c>
      <c r="E110" s="11" t="s">
        <v>54</v>
      </c>
      <c r="F110" s="11" t="s">
        <v>234</v>
      </c>
      <c r="G110" s="10" t="s">
        <v>177</v>
      </c>
      <c r="H110" s="11" t="s">
        <v>178</v>
      </c>
      <c r="I110" s="12"/>
      <c r="J110" s="12">
        <v>10000</v>
      </c>
      <c r="K110" s="12">
        <v>8478.6799999999985</v>
      </c>
    </row>
    <row r="111" spans="1:11" x14ac:dyDescent="0.3">
      <c r="A111" s="10">
        <v>107</v>
      </c>
      <c r="B111" s="10" t="s">
        <v>257</v>
      </c>
      <c r="C111" s="10" t="s">
        <v>208</v>
      </c>
      <c r="D111" s="11" t="s">
        <v>29</v>
      </c>
      <c r="E111" s="11" t="s">
        <v>30</v>
      </c>
      <c r="F111" s="11" t="s">
        <v>258</v>
      </c>
      <c r="G111" s="10" t="s">
        <v>32</v>
      </c>
      <c r="H111" s="11" t="s">
        <v>33</v>
      </c>
      <c r="I111" s="12">
        <v>10000</v>
      </c>
      <c r="J111" s="12"/>
      <c r="K111" s="13">
        <v>-1521.320000000002</v>
      </c>
    </row>
    <row r="112" spans="1:11" x14ac:dyDescent="0.3">
      <c r="A112" s="10">
        <v>108</v>
      </c>
      <c r="B112" s="10" t="s">
        <v>259</v>
      </c>
      <c r="C112" s="10" t="s">
        <v>208</v>
      </c>
      <c r="D112" s="11" t="s">
        <v>82</v>
      </c>
      <c r="E112" s="11" t="s">
        <v>30</v>
      </c>
      <c r="F112" s="11" t="s">
        <v>260</v>
      </c>
      <c r="G112" s="10" t="s">
        <v>84</v>
      </c>
      <c r="H112" s="11" t="s">
        <v>85</v>
      </c>
      <c r="I112" s="12"/>
      <c r="J112" s="12">
        <v>900</v>
      </c>
      <c r="K112" s="13">
        <v>-621.32000000000153</v>
      </c>
    </row>
    <row r="113" spans="1:11" x14ac:dyDescent="0.3">
      <c r="A113" s="10">
        <v>109</v>
      </c>
      <c r="B113" s="10" t="s">
        <v>259</v>
      </c>
      <c r="C113" s="10" t="s">
        <v>208</v>
      </c>
      <c r="D113" s="11" t="s">
        <v>67</v>
      </c>
      <c r="E113" s="11" t="s">
        <v>68</v>
      </c>
      <c r="F113" s="11" t="s">
        <v>69</v>
      </c>
      <c r="G113" s="10" t="s">
        <v>70</v>
      </c>
      <c r="H113" s="11" t="s">
        <v>71</v>
      </c>
      <c r="I113" s="12">
        <v>5.3</v>
      </c>
      <c r="J113" s="12"/>
      <c r="K113" s="13">
        <v>-626.62000000000148</v>
      </c>
    </row>
    <row r="114" spans="1:11" x14ac:dyDescent="0.3">
      <c r="A114" s="10">
        <v>110</v>
      </c>
      <c r="B114" s="10" t="s">
        <v>259</v>
      </c>
      <c r="C114" s="10" t="s">
        <v>208</v>
      </c>
      <c r="D114" s="11" t="s">
        <v>72</v>
      </c>
      <c r="E114" s="11" t="s">
        <v>73</v>
      </c>
      <c r="F114" s="11" t="s">
        <v>74</v>
      </c>
      <c r="G114" s="10" t="s">
        <v>75</v>
      </c>
      <c r="H114" s="11" t="s">
        <v>72</v>
      </c>
      <c r="I114" s="12">
        <v>1962</v>
      </c>
      <c r="J114" s="12"/>
      <c r="K114" s="13">
        <v>-2588.6200000000022</v>
      </c>
    </row>
    <row r="115" spans="1:11" x14ac:dyDescent="0.3">
      <c r="A115" s="10">
        <v>111</v>
      </c>
      <c r="B115" s="10" t="s">
        <v>259</v>
      </c>
      <c r="C115" s="10" t="s">
        <v>208</v>
      </c>
      <c r="D115" s="11" t="s">
        <v>261</v>
      </c>
      <c r="E115" s="11" t="s">
        <v>202</v>
      </c>
      <c r="F115" s="11" t="s">
        <v>262</v>
      </c>
      <c r="G115" s="10" t="s">
        <v>204</v>
      </c>
      <c r="H115" s="11" t="s">
        <v>205</v>
      </c>
      <c r="I115" s="12">
        <v>2000</v>
      </c>
      <c r="J115" s="12"/>
      <c r="K115" s="13">
        <v>-4588.6200000000017</v>
      </c>
    </row>
    <row r="116" spans="1:11" x14ac:dyDescent="0.3">
      <c r="A116" s="10">
        <v>112</v>
      </c>
      <c r="B116" s="10" t="s">
        <v>259</v>
      </c>
      <c r="C116" s="10" t="s">
        <v>208</v>
      </c>
      <c r="D116" s="11" t="s">
        <v>261</v>
      </c>
      <c r="E116" s="11" t="s">
        <v>202</v>
      </c>
      <c r="F116" s="11" t="s">
        <v>263</v>
      </c>
      <c r="G116" s="10" t="s">
        <v>204</v>
      </c>
      <c r="H116" s="11" t="s">
        <v>205</v>
      </c>
      <c r="I116" s="12">
        <v>410.67</v>
      </c>
      <c r="J116" s="12"/>
      <c r="K116" s="13">
        <v>-4999.2900000000018</v>
      </c>
    </row>
    <row r="117" spans="1:11" x14ac:dyDescent="0.3">
      <c r="A117" s="10">
        <v>113</v>
      </c>
      <c r="B117" s="10" t="s">
        <v>259</v>
      </c>
      <c r="C117" s="10" t="s">
        <v>208</v>
      </c>
      <c r="D117" s="11" t="s">
        <v>264</v>
      </c>
      <c r="E117" s="11" t="s">
        <v>227</v>
      </c>
      <c r="F117" s="11" t="s">
        <v>265</v>
      </c>
      <c r="G117" s="10" t="s">
        <v>172</v>
      </c>
      <c r="H117" s="11" t="s">
        <v>173</v>
      </c>
      <c r="I117" s="12">
        <v>237.74</v>
      </c>
      <c r="J117" s="12"/>
      <c r="K117" s="13">
        <v>-5237.0300000000016</v>
      </c>
    </row>
    <row r="118" spans="1:11" x14ac:dyDescent="0.3">
      <c r="A118" s="10">
        <v>114</v>
      </c>
      <c r="B118" s="10" t="s">
        <v>266</v>
      </c>
      <c r="C118" s="10" t="s">
        <v>208</v>
      </c>
      <c r="D118" s="11" t="s">
        <v>82</v>
      </c>
      <c r="E118" s="11" t="s">
        <v>30</v>
      </c>
      <c r="F118" s="11" t="s">
        <v>267</v>
      </c>
      <c r="G118" s="10" t="s">
        <v>84</v>
      </c>
      <c r="H118" s="11" t="s">
        <v>85</v>
      </c>
      <c r="I118" s="12"/>
      <c r="J118" s="12">
        <v>1400</v>
      </c>
      <c r="K118" s="13">
        <v>-3837.030000000002</v>
      </c>
    </row>
    <row r="119" spans="1:11" x14ac:dyDescent="0.3">
      <c r="A119" s="10">
        <v>115</v>
      </c>
      <c r="B119" s="10" t="s">
        <v>266</v>
      </c>
      <c r="C119" s="10" t="s">
        <v>208</v>
      </c>
      <c r="D119" s="11" t="s">
        <v>82</v>
      </c>
      <c r="E119" s="11" t="s">
        <v>30</v>
      </c>
      <c r="F119" s="11" t="s">
        <v>268</v>
      </c>
      <c r="G119" s="10" t="s">
        <v>84</v>
      </c>
      <c r="H119" s="11" t="s">
        <v>85</v>
      </c>
      <c r="I119" s="12"/>
      <c r="J119" s="12">
        <v>1000</v>
      </c>
      <c r="K119" s="13">
        <v>-2837.030000000002</v>
      </c>
    </row>
    <row r="120" spans="1:11" x14ac:dyDescent="0.3">
      <c r="A120" s="10">
        <v>116</v>
      </c>
      <c r="B120" s="10" t="s">
        <v>266</v>
      </c>
      <c r="C120" s="10" t="s">
        <v>208</v>
      </c>
      <c r="D120" s="11" t="s">
        <v>221</v>
      </c>
      <c r="E120" s="11" t="s">
        <v>222</v>
      </c>
      <c r="F120" s="11" t="s">
        <v>269</v>
      </c>
      <c r="G120" s="10" t="s">
        <v>144</v>
      </c>
      <c r="H120" s="11" t="s">
        <v>145</v>
      </c>
      <c r="I120" s="12">
        <v>750</v>
      </c>
      <c r="J120" s="12"/>
      <c r="K120" s="13">
        <v>-3587.030000000002</v>
      </c>
    </row>
    <row r="121" spans="1:11" x14ac:dyDescent="0.3">
      <c r="A121" s="10">
        <v>117</v>
      </c>
      <c r="B121" s="10" t="s">
        <v>266</v>
      </c>
      <c r="C121" s="10" t="s">
        <v>208</v>
      </c>
      <c r="D121" s="11" t="s">
        <v>270</v>
      </c>
      <c r="E121" s="11" t="s">
        <v>170</v>
      </c>
      <c r="F121" s="11" t="s">
        <v>271</v>
      </c>
      <c r="G121" s="10" t="s">
        <v>172</v>
      </c>
      <c r="H121" s="11" t="s">
        <v>173</v>
      </c>
      <c r="I121" s="12">
        <v>1428</v>
      </c>
      <c r="J121" s="12"/>
      <c r="K121" s="13">
        <v>-5015.0300000000016</v>
      </c>
    </row>
    <row r="122" spans="1:11" x14ac:dyDescent="0.3">
      <c r="A122" s="14">
        <v>118</v>
      </c>
      <c r="B122" s="14" t="s">
        <v>272</v>
      </c>
      <c r="C122" s="14" t="s">
        <v>273</v>
      </c>
      <c r="D122" s="15" t="s">
        <v>19</v>
      </c>
      <c r="E122" s="15" t="s">
        <v>20</v>
      </c>
      <c r="F122" s="15" t="s">
        <v>21</v>
      </c>
      <c r="G122" s="14" t="s">
        <v>22</v>
      </c>
      <c r="H122" s="15" t="s">
        <v>19</v>
      </c>
      <c r="I122" s="16">
        <v>930</v>
      </c>
      <c r="J122" s="16"/>
      <c r="K122" s="17">
        <v>-5945.0300000000016</v>
      </c>
    </row>
    <row r="123" spans="1:11" x14ac:dyDescent="0.3">
      <c r="A123" s="14">
        <v>119</v>
      </c>
      <c r="B123" s="14" t="s">
        <v>274</v>
      </c>
      <c r="C123" s="14" t="s">
        <v>273</v>
      </c>
      <c r="D123" s="15" t="s">
        <v>29</v>
      </c>
      <c r="E123" s="15" t="s">
        <v>30</v>
      </c>
      <c r="F123" s="15" t="s">
        <v>275</v>
      </c>
      <c r="G123" s="14" t="s">
        <v>32</v>
      </c>
      <c r="H123" s="15" t="s">
        <v>33</v>
      </c>
      <c r="I123" s="16">
        <v>200</v>
      </c>
      <c r="J123" s="16"/>
      <c r="K123" s="17">
        <v>-6145.0300000000016</v>
      </c>
    </row>
    <row r="124" spans="1:11" x14ac:dyDescent="0.3">
      <c r="A124" s="14">
        <v>120</v>
      </c>
      <c r="B124" s="14" t="s">
        <v>276</v>
      </c>
      <c r="C124" s="14" t="s">
        <v>273</v>
      </c>
      <c r="D124" s="15" t="s">
        <v>277</v>
      </c>
      <c r="E124" s="15" t="s">
        <v>25</v>
      </c>
      <c r="F124" s="15" t="s">
        <v>278</v>
      </c>
      <c r="G124" s="14" t="s">
        <v>27</v>
      </c>
      <c r="H124" s="15" t="s">
        <v>28</v>
      </c>
      <c r="I124" s="16"/>
      <c r="J124" s="16">
        <v>10808.62</v>
      </c>
      <c r="K124" s="16">
        <v>4663.5899999999992</v>
      </c>
    </row>
    <row r="125" spans="1:11" x14ac:dyDescent="0.3">
      <c r="A125" s="14">
        <v>121</v>
      </c>
      <c r="B125" s="14" t="s">
        <v>279</v>
      </c>
      <c r="C125" s="14" t="s">
        <v>273</v>
      </c>
      <c r="D125" s="15" t="s">
        <v>280</v>
      </c>
      <c r="E125" s="15" t="s">
        <v>102</v>
      </c>
      <c r="F125" s="15" t="s">
        <v>281</v>
      </c>
      <c r="G125" s="14" t="s">
        <v>104</v>
      </c>
      <c r="H125" s="15" t="s">
        <v>105</v>
      </c>
      <c r="I125" s="16">
        <v>4000</v>
      </c>
      <c r="J125" s="16"/>
      <c r="K125" s="16">
        <v>663.58999999999924</v>
      </c>
    </row>
    <row r="126" spans="1:11" x14ac:dyDescent="0.3">
      <c r="A126" s="14">
        <v>122</v>
      </c>
      <c r="B126" s="14" t="s">
        <v>279</v>
      </c>
      <c r="C126" s="14" t="s">
        <v>273</v>
      </c>
      <c r="D126" s="15" t="s">
        <v>29</v>
      </c>
      <c r="E126" s="15" t="s">
        <v>30</v>
      </c>
      <c r="F126" s="15" t="s">
        <v>282</v>
      </c>
      <c r="G126" s="14" t="s">
        <v>32</v>
      </c>
      <c r="H126" s="15" t="s">
        <v>33</v>
      </c>
      <c r="I126" s="16">
        <v>6500</v>
      </c>
      <c r="J126" s="16"/>
      <c r="K126" s="17">
        <v>-5836.4100000000008</v>
      </c>
    </row>
    <row r="127" spans="1:11" x14ac:dyDescent="0.3">
      <c r="A127" s="14">
        <v>123</v>
      </c>
      <c r="B127" s="14" t="s">
        <v>283</v>
      </c>
      <c r="C127" s="14" t="s">
        <v>273</v>
      </c>
      <c r="D127" s="15" t="s">
        <v>29</v>
      </c>
      <c r="E127" s="15" t="s">
        <v>30</v>
      </c>
      <c r="F127" s="15" t="s">
        <v>284</v>
      </c>
      <c r="G127" s="14" t="s">
        <v>32</v>
      </c>
      <c r="H127" s="15" t="s">
        <v>33</v>
      </c>
      <c r="I127" s="16">
        <v>200</v>
      </c>
      <c r="J127" s="16"/>
      <c r="K127" s="17">
        <v>-6036.4100000000008</v>
      </c>
    </row>
    <row r="128" spans="1:11" x14ac:dyDescent="0.3">
      <c r="A128" s="14">
        <v>124</v>
      </c>
      <c r="B128" s="14" t="s">
        <v>285</v>
      </c>
      <c r="C128" s="14" t="s">
        <v>273</v>
      </c>
      <c r="D128" s="15" t="s">
        <v>82</v>
      </c>
      <c r="E128" s="15" t="s">
        <v>30</v>
      </c>
      <c r="F128" s="15" t="s">
        <v>286</v>
      </c>
      <c r="G128" s="14" t="s">
        <v>84</v>
      </c>
      <c r="H128" s="15" t="s">
        <v>85</v>
      </c>
      <c r="I128" s="16"/>
      <c r="J128" s="16">
        <v>5000</v>
      </c>
      <c r="K128" s="17">
        <v>-1036.410000000001</v>
      </c>
    </row>
    <row r="129" spans="1:11" x14ac:dyDescent="0.3">
      <c r="A129" s="14">
        <v>125</v>
      </c>
      <c r="B129" s="14" t="s">
        <v>287</v>
      </c>
      <c r="C129" s="14" t="s">
        <v>273</v>
      </c>
      <c r="D129" s="15" t="s">
        <v>67</v>
      </c>
      <c r="E129" s="15" t="s">
        <v>68</v>
      </c>
      <c r="F129" s="15" t="s">
        <v>69</v>
      </c>
      <c r="G129" s="14" t="s">
        <v>70</v>
      </c>
      <c r="H129" s="15" t="s">
        <v>71</v>
      </c>
      <c r="I129" s="16">
        <v>5.3</v>
      </c>
      <c r="J129" s="16"/>
      <c r="K129" s="17">
        <v>-1041.7100000000009</v>
      </c>
    </row>
    <row r="130" spans="1:11" x14ac:dyDescent="0.3">
      <c r="A130" s="14">
        <v>126</v>
      </c>
      <c r="B130" s="14" t="s">
        <v>287</v>
      </c>
      <c r="C130" s="14" t="s">
        <v>273</v>
      </c>
      <c r="D130" s="15" t="s">
        <v>72</v>
      </c>
      <c r="E130" s="15" t="s">
        <v>73</v>
      </c>
      <c r="F130" s="15" t="s">
        <v>74</v>
      </c>
      <c r="G130" s="14" t="s">
        <v>75</v>
      </c>
      <c r="H130" s="15" t="s">
        <v>72</v>
      </c>
      <c r="I130" s="16">
        <v>1561</v>
      </c>
      <c r="J130" s="16"/>
      <c r="K130" s="17">
        <v>-2602.7100000000009</v>
      </c>
    </row>
    <row r="131" spans="1:11" x14ac:dyDescent="0.3">
      <c r="A131" s="14">
        <v>127</v>
      </c>
      <c r="B131" s="14" t="s">
        <v>288</v>
      </c>
      <c r="C131" s="14" t="s">
        <v>273</v>
      </c>
      <c r="D131" s="15" t="s">
        <v>289</v>
      </c>
      <c r="E131" s="15" t="s">
        <v>142</v>
      </c>
      <c r="F131" s="15" t="s">
        <v>290</v>
      </c>
      <c r="G131" s="14" t="s">
        <v>144</v>
      </c>
      <c r="H131" s="15" t="s">
        <v>145</v>
      </c>
      <c r="I131" s="16">
        <v>328</v>
      </c>
      <c r="J131" s="16"/>
      <c r="K131" s="17">
        <v>-2930.7100000000009</v>
      </c>
    </row>
    <row r="132" spans="1:11" x14ac:dyDescent="0.3">
      <c r="A132" s="14">
        <v>128</v>
      </c>
      <c r="B132" s="14" t="s">
        <v>291</v>
      </c>
      <c r="C132" s="14" t="s">
        <v>273</v>
      </c>
      <c r="D132" s="15" t="s">
        <v>67</v>
      </c>
      <c r="E132" s="15" t="s">
        <v>68</v>
      </c>
      <c r="F132" s="15" t="s">
        <v>69</v>
      </c>
      <c r="G132" s="14" t="s">
        <v>70</v>
      </c>
      <c r="H132" s="15" t="s">
        <v>71</v>
      </c>
      <c r="I132" s="16">
        <v>5.3</v>
      </c>
      <c r="J132" s="16"/>
      <c r="K132" s="17">
        <v>-2936.0100000000011</v>
      </c>
    </row>
    <row r="133" spans="1:11" x14ac:dyDescent="0.3">
      <c r="A133" s="14">
        <v>129</v>
      </c>
      <c r="B133" s="14" t="s">
        <v>291</v>
      </c>
      <c r="C133" s="14" t="s">
        <v>273</v>
      </c>
      <c r="D133" s="15" t="s">
        <v>72</v>
      </c>
      <c r="E133" s="15" t="s">
        <v>73</v>
      </c>
      <c r="F133" s="15" t="s">
        <v>74</v>
      </c>
      <c r="G133" s="14" t="s">
        <v>75</v>
      </c>
      <c r="H133" s="15" t="s">
        <v>72</v>
      </c>
      <c r="I133" s="16">
        <v>1962</v>
      </c>
      <c r="J133" s="16"/>
      <c r="K133" s="17">
        <v>-4898.0100000000011</v>
      </c>
    </row>
    <row r="134" spans="1:11" x14ac:dyDescent="0.3">
      <c r="A134" s="14">
        <v>130</v>
      </c>
      <c r="B134" s="14" t="s">
        <v>292</v>
      </c>
      <c r="C134" s="14" t="s">
        <v>273</v>
      </c>
      <c r="D134" s="15" t="s">
        <v>29</v>
      </c>
      <c r="E134" s="15" t="s">
        <v>30</v>
      </c>
      <c r="F134" s="15" t="s">
        <v>293</v>
      </c>
      <c r="G134" s="14" t="s">
        <v>32</v>
      </c>
      <c r="H134" s="15" t="s">
        <v>33</v>
      </c>
      <c r="I134" s="16">
        <v>300</v>
      </c>
      <c r="J134" s="16"/>
      <c r="K134" s="17">
        <v>-5198.0100000000011</v>
      </c>
    </row>
    <row r="135" spans="1:11" x14ac:dyDescent="0.3">
      <c r="A135" s="14">
        <v>131</v>
      </c>
      <c r="B135" s="14" t="s">
        <v>292</v>
      </c>
      <c r="C135" s="14" t="s">
        <v>273</v>
      </c>
      <c r="D135" s="15" t="s">
        <v>29</v>
      </c>
      <c r="E135" s="15" t="s">
        <v>30</v>
      </c>
      <c r="F135" s="15" t="s">
        <v>294</v>
      </c>
      <c r="G135" s="14" t="s">
        <v>32</v>
      </c>
      <c r="H135" s="15" t="s">
        <v>33</v>
      </c>
      <c r="I135" s="16">
        <v>100</v>
      </c>
      <c r="J135" s="16"/>
      <c r="K135" s="17">
        <v>-5298.0100000000011</v>
      </c>
    </row>
    <row r="136" spans="1:11" x14ac:dyDescent="0.3">
      <c r="A136" s="6">
        <v>132</v>
      </c>
      <c r="B136" s="6" t="s">
        <v>295</v>
      </c>
      <c r="C136" s="6" t="s">
        <v>296</v>
      </c>
      <c r="D136" s="7" t="s">
        <v>19</v>
      </c>
      <c r="E136" s="7" t="s">
        <v>20</v>
      </c>
      <c r="F136" s="7" t="s">
        <v>21</v>
      </c>
      <c r="G136" s="6" t="s">
        <v>22</v>
      </c>
      <c r="H136" s="7" t="s">
        <v>19</v>
      </c>
      <c r="I136" s="8">
        <v>930</v>
      </c>
      <c r="J136" s="8"/>
      <c r="K136" s="9">
        <v>-6228.0100000000011</v>
      </c>
    </row>
    <row r="137" spans="1:11" x14ac:dyDescent="0.3">
      <c r="A137" s="6">
        <v>133</v>
      </c>
      <c r="B137" s="6" t="s">
        <v>297</v>
      </c>
      <c r="C137" s="6" t="s">
        <v>296</v>
      </c>
      <c r="D137" s="7" t="s">
        <v>298</v>
      </c>
      <c r="E137" s="7" t="s">
        <v>25</v>
      </c>
      <c r="F137" s="7" t="s">
        <v>299</v>
      </c>
      <c r="G137" s="6" t="s">
        <v>27</v>
      </c>
      <c r="H137" s="7" t="s">
        <v>28</v>
      </c>
      <c r="I137" s="8"/>
      <c r="J137" s="8">
        <v>11070.98</v>
      </c>
      <c r="K137" s="8">
        <v>4842.9699999999984</v>
      </c>
    </row>
    <row r="138" spans="1:11" x14ac:dyDescent="0.3">
      <c r="A138" s="6">
        <v>134</v>
      </c>
      <c r="B138" s="6" t="s">
        <v>297</v>
      </c>
      <c r="C138" s="6" t="s">
        <v>296</v>
      </c>
      <c r="D138" s="7" t="s">
        <v>29</v>
      </c>
      <c r="E138" s="7" t="s">
        <v>30</v>
      </c>
      <c r="F138" s="7" t="s">
        <v>300</v>
      </c>
      <c r="G138" s="6" t="s">
        <v>32</v>
      </c>
      <c r="H138" s="7" t="s">
        <v>33</v>
      </c>
      <c r="I138" s="8">
        <v>2000</v>
      </c>
      <c r="J138" s="8"/>
      <c r="K138" s="8">
        <v>2842.969999999998</v>
      </c>
    </row>
    <row r="139" spans="1:11" x14ac:dyDescent="0.3">
      <c r="A139" s="6">
        <v>135</v>
      </c>
      <c r="B139" s="6" t="s">
        <v>297</v>
      </c>
      <c r="C139" s="6" t="s">
        <v>296</v>
      </c>
      <c r="D139" s="7" t="s">
        <v>301</v>
      </c>
      <c r="E139" s="7" t="s">
        <v>102</v>
      </c>
      <c r="F139" s="7" t="s">
        <v>302</v>
      </c>
      <c r="G139" s="6" t="s">
        <v>104</v>
      </c>
      <c r="H139" s="7" t="s">
        <v>105</v>
      </c>
      <c r="I139" s="8">
        <v>4000</v>
      </c>
      <c r="J139" s="8"/>
      <c r="K139" s="9">
        <v>-1157.030000000002</v>
      </c>
    </row>
    <row r="140" spans="1:11" x14ac:dyDescent="0.3">
      <c r="A140" s="6">
        <v>136</v>
      </c>
      <c r="B140" s="6" t="s">
        <v>303</v>
      </c>
      <c r="C140" s="6" t="s">
        <v>296</v>
      </c>
      <c r="D140" s="7" t="s">
        <v>29</v>
      </c>
      <c r="E140" s="7" t="s">
        <v>30</v>
      </c>
      <c r="F140" s="7" t="s">
        <v>304</v>
      </c>
      <c r="G140" s="6" t="s">
        <v>32</v>
      </c>
      <c r="H140" s="7" t="s">
        <v>33</v>
      </c>
      <c r="I140" s="8">
        <v>3000</v>
      </c>
      <c r="J140" s="8"/>
      <c r="K140" s="9">
        <v>-4157.0300000000016</v>
      </c>
    </row>
    <row r="141" spans="1:11" x14ac:dyDescent="0.3">
      <c r="A141" s="6">
        <v>137</v>
      </c>
      <c r="B141" s="6" t="s">
        <v>303</v>
      </c>
      <c r="C141" s="6" t="s">
        <v>296</v>
      </c>
      <c r="D141" s="7" t="s">
        <v>29</v>
      </c>
      <c r="E141" s="7" t="s">
        <v>30</v>
      </c>
      <c r="F141" s="7" t="s">
        <v>305</v>
      </c>
      <c r="G141" s="6" t="s">
        <v>32</v>
      </c>
      <c r="H141" s="7" t="s">
        <v>33</v>
      </c>
      <c r="I141" s="8">
        <v>1000</v>
      </c>
      <c r="J141" s="8"/>
      <c r="K141" s="9">
        <v>-5157.0300000000016</v>
      </c>
    </row>
    <row r="142" spans="1:11" x14ac:dyDescent="0.3">
      <c r="A142" s="6">
        <v>138</v>
      </c>
      <c r="B142" s="6" t="s">
        <v>306</v>
      </c>
      <c r="C142" s="6" t="s">
        <v>296</v>
      </c>
      <c r="D142" s="7" t="s">
        <v>248</v>
      </c>
      <c r="E142" s="7" t="s">
        <v>227</v>
      </c>
      <c r="F142" s="7" t="s">
        <v>307</v>
      </c>
      <c r="G142" s="6" t="s">
        <v>144</v>
      </c>
      <c r="H142" s="7" t="s">
        <v>145</v>
      </c>
      <c r="I142" s="8">
        <v>595</v>
      </c>
      <c r="J142" s="8"/>
      <c r="K142" s="9">
        <v>-5752.0300000000016</v>
      </c>
    </row>
    <row r="143" spans="1:11" x14ac:dyDescent="0.3">
      <c r="A143" s="6">
        <v>139</v>
      </c>
      <c r="B143" s="6" t="s">
        <v>308</v>
      </c>
      <c r="C143" s="6" t="s">
        <v>296</v>
      </c>
      <c r="D143" s="7" t="s">
        <v>82</v>
      </c>
      <c r="E143" s="7" t="s">
        <v>30</v>
      </c>
      <c r="F143" s="7" t="s">
        <v>309</v>
      </c>
      <c r="G143" s="6" t="s">
        <v>84</v>
      </c>
      <c r="H143" s="7" t="s">
        <v>85</v>
      </c>
      <c r="I143" s="8"/>
      <c r="J143" s="8">
        <v>6000</v>
      </c>
      <c r="K143" s="8">
        <v>247.96999999999841</v>
      </c>
    </row>
    <row r="144" spans="1:11" x14ac:dyDescent="0.3">
      <c r="A144" s="6">
        <v>140</v>
      </c>
      <c r="B144" s="6" t="s">
        <v>308</v>
      </c>
      <c r="C144" s="6" t="s">
        <v>296</v>
      </c>
      <c r="D144" s="7" t="s">
        <v>58</v>
      </c>
      <c r="E144" s="7" t="s">
        <v>54</v>
      </c>
      <c r="F144" s="7" t="s">
        <v>310</v>
      </c>
      <c r="G144" s="6" t="s">
        <v>60</v>
      </c>
      <c r="H144" s="7" t="s">
        <v>61</v>
      </c>
      <c r="I144" s="8"/>
      <c r="J144" s="8">
        <v>1962</v>
      </c>
      <c r="K144" s="8">
        <v>2209.969999999998</v>
      </c>
    </row>
    <row r="145" spans="1:11" x14ac:dyDescent="0.3">
      <c r="A145" s="6">
        <v>141</v>
      </c>
      <c r="B145" s="6" t="s">
        <v>311</v>
      </c>
      <c r="C145" s="6" t="s">
        <v>296</v>
      </c>
      <c r="D145" s="7" t="s">
        <v>178</v>
      </c>
      <c r="E145" s="7" t="s">
        <v>54</v>
      </c>
      <c r="F145" s="7" t="s">
        <v>234</v>
      </c>
      <c r="G145" s="6" t="s">
        <v>177</v>
      </c>
      <c r="H145" s="7" t="s">
        <v>178</v>
      </c>
      <c r="I145" s="8"/>
      <c r="J145" s="8">
        <v>30000</v>
      </c>
      <c r="K145" s="8">
        <v>32209.97</v>
      </c>
    </row>
    <row r="146" spans="1:11" x14ac:dyDescent="0.3">
      <c r="A146" s="6">
        <v>142</v>
      </c>
      <c r="B146" s="6" t="s">
        <v>311</v>
      </c>
      <c r="C146" s="6" t="s">
        <v>296</v>
      </c>
      <c r="D146" s="7" t="s">
        <v>312</v>
      </c>
      <c r="E146" s="7" t="s">
        <v>92</v>
      </c>
      <c r="F146" s="7" t="s">
        <v>313</v>
      </c>
      <c r="G146" s="6" t="s">
        <v>94</v>
      </c>
      <c r="H146" s="7" t="s">
        <v>95</v>
      </c>
      <c r="I146" s="8">
        <v>4482</v>
      </c>
      <c r="J146" s="8"/>
      <c r="K146" s="8">
        <v>27727.97</v>
      </c>
    </row>
    <row r="147" spans="1:11" x14ac:dyDescent="0.3">
      <c r="A147" s="6">
        <v>143</v>
      </c>
      <c r="B147" s="6" t="s">
        <v>311</v>
      </c>
      <c r="C147" s="6" t="s">
        <v>296</v>
      </c>
      <c r="D147" s="7" t="s">
        <v>314</v>
      </c>
      <c r="E147" s="7" t="s">
        <v>315</v>
      </c>
      <c r="F147" s="7" t="s">
        <v>316</v>
      </c>
      <c r="G147" s="6" t="s">
        <v>317</v>
      </c>
      <c r="H147" s="7" t="s">
        <v>318</v>
      </c>
      <c r="I147" s="8">
        <v>10000</v>
      </c>
      <c r="J147" s="8"/>
      <c r="K147" s="8">
        <v>17727.97</v>
      </c>
    </row>
    <row r="148" spans="1:11" x14ac:dyDescent="0.3">
      <c r="A148" s="6">
        <v>144</v>
      </c>
      <c r="B148" s="6" t="s">
        <v>319</v>
      </c>
      <c r="C148" s="6" t="s">
        <v>296</v>
      </c>
      <c r="D148" s="7" t="s">
        <v>29</v>
      </c>
      <c r="E148" s="7" t="s">
        <v>30</v>
      </c>
      <c r="F148" s="7" t="s">
        <v>320</v>
      </c>
      <c r="G148" s="6" t="s">
        <v>32</v>
      </c>
      <c r="H148" s="7" t="s">
        <v>33</v>
      </c>
      <c r="I148" s="8">
        <v>9000</v>
      </c>
      <c r="J148" s="8"/>
      <c r="K148" s="8">
        <v>8727.9699999999975</v>
      </c>
    </row>
    <row r="149" spans="1:11" x14ac:dyDescent="0.3">
      <c r="A149" s="6">
        <v>145</v>
      </c>
      <c r="B149" s="6" t="s">
        <v>319</v>
      </c>
      <c r="C149" s="6" t="s">
        <v>296</v>
      </c>
      <c r="D149" s="7" t="s">
        <v>29</v>
      </c>
      <c r="E149" s="7" t="s">
        <v>30</v>
      </c>
      <c r="F149" s="7" t="s">
        <v>321</v>
      </c>
      <c r="G149" s="6" t="s">
        <v>32</v>
      </c>
      <c r="H149" s="7" t="s">
        <v>33</v>
      </c>
      <c r="I149" s="8">
        <v>10000</v>
      </c>
      <c r="J149" s="8"/>
      <c r="K149" s="9">
        <v>-1272.030000000002</v>
      </c>
    </row>
    <row r="150" spans="1:11" x14ac:dyDescent="0.3">
      <c r="A150" s="6">
        <v>146</v>
      </c>
      <c r="B150" s="6" t="s">
        <v>322</v>
      </c>
      <c r="C150" s="6" t="s">
        <v>296</v>
      </c>
      <c r="D150" s="7" t="s">
        <v>67</v>
      </c>
      <c r="E150" s="7" t="s">
        <v>68</v>
      </c>
      <c r="F150" s="7" t="s">
        <v>69</v>
      </c>
      <c r="G150" s="6" t="s">
        <v>70</v>
      </c>
      <c r="H150" s="7" t="s">
        <v>71</v>
      </c>
      <c r="I150" s="8">
        <v>5.3</v>
      </c>
      <c r="J150" s="8"/>
      <c r="K150" s="9">
        <v>-1277.330000000002</v>
      </c>
    </row>
    <row r="151" spans="1:11" x14ac:dyDescent="0.3">
      <c r="A151" s="6">
        <v>147</v>
      </c>
      <c r="B151" s="6" t="s">
        <v>322</v>
      </c>
      <c r="C151" s="6" t="s">
        <v>296</v>
      </c>
      <c r="D151" s="7" t="s">
        <v>72</v>
      </c>
      <c r="E151" s="7" t="s">
        <v>73</v>
      </c>
      <c r="F151" s="7" t="s">
        <v>74</v>
      </c>
      <c r="G151" s="6" t="s">
        <v>75</v>
      </c>
      <c r="H151" s="7" t="s">
        <v>72</v>
      </c>
      <c r="I151" s="8">
        <v>1561</v>
      </c>
      <c r="J151" s="8"/>
      <c r="K151" s="9">
        <v>-2838.3300000000031</v>
      </c>
    </row>
    <row r="152" spans="1:11" x14ac:dyDescent="0.3">
      <c r="A152" s="6">
        <v>148</v>
      </c>
      <c r="B152" s="6" t="s">
        <v>323</v>
      </c>
      <c r="C152" s="6" t="s">
        <v>296</v>
      </c>
      <c r="D152" s="7" t="s">
        <v>178</v>
      </c>
      <c r="E152" s="7" t="s">
        <v>54</v>
      </c>
      <c r="F152" s="7" t="s">
        <v>234</v>
      </c>
      <c r="G152" s="6" t="s">
        <v>177</v>
      </c>
      <c r="H152" s="7" t="s">
        <v>178</v>
      </c>
      <c r="I152" s="8"/>
      <c r="J152" s="8">
        <v>10000</v>
      </c>
      <c r="K152" s="8">
        <v>7161.6699999999973</v>
      </c>
    </row>
    <row r="153" spans="1:11" x14ac:dyDescent="0.3">
      <c r="A153" s="6">
        <v>149</v>
      </c>
      <c r="B153" s="6" t="s">
        <v>323</v>
      </c>
      <c r="C153" s="6" t="s">
        <v>296</v>
      </c>
      <c r="D153" s="7" t="s">
        <v>29</v>
      </c>
      <c r="E153" s="7" t="s">
        <v>30</v>
      </c>
      <c r="F153" s="7" t="s">
        <v>324</v>
      </c>
      <c r="G153" s="6" t="s">
        <v>32</v>
      </c>
      <c r="H153" s="7" t="s">
        <v>33</v>
      </c>
      <c r="I153" s="8">
        <v>8000</v>
      </c>
      <c r="J153" s="8"/>
      <c r="K153" s="9">
        <v>-838.33000000000266</v>
      </c>
    </row>
    <row r="154" spans="1:11" x14ac:dyDescent="0.3">
      <c r="A154" s="6">
        <v>150</v>
      </c>
      <c r="B154" s="6" t="s">
        <v>325</v>
      </c>
      <c r="C154" s="6" t="s">
        <v>296</v>
      </c>
      <c r="D154" s="7" t="s">
        <v>67</v>
      </c>
      <c r="E154" s="7" t="s">
        <v>68</v>
      </c>
      <c r="F154" s="7" t="s">
        <v>69</v>
      </c>
      <c r="G154" s="6" t="s">
        <v>70</v>
      </c>
      <c r="H154" s="7" t="s">
        <v>71</v>
      </c>
      <c r="I154" s="8">
        <v>5.3</v>
      </c>
      <c r="J154" s="8"/>
      <c r="K154" s="9">
        <v>-843.63000000000261</v>
      </c>
    </row>
    <row r="155" spans="1:11" x14ac:dyDescent="0.3">
      <c r="A155" s="6">
        <v>151</v>
      </c>
      <c r="B155" s="6" t="s">
        <v>325</v>
      </c>
      <c r="C155" s="6" t="s">
        <v>296</v>
      </c>
      <c r="D155" s="7" t="s">
        <v>72</v>
      </c>
      <c r="E155" s="7" t="s">
        <v>73</v>
      </c>
      <c r="F155" s="7" t="s">
        <v>74</v>
      </c>
      <c r="G155" s="6" t="s">
        <v>75</v>
      </c>
      <c r="H155" s="7" t="s">
        <v>72</v>
      </c>
      <c r="I155" s="8">
        <v>1962</v>
      </c>
      <c r="J155" s="8"/>
      <c r="K155" s="9">
        <v>-2805.6300000000028</v>
      </c>
    </row>
    <row r="156" spans="1:11" x14ac:dyDescent="0.3">
      <c r="A156" s="6">
        <v>152</v>
      </c>
      <c r="B156" s="6" t="s">
        <v>326</v>
      </c>
      <c r="C156" s="6" t="s">
        <v>296</v>
      </c>
      <c r="D156" s="7" t="s">
        <v>29</v>
      </c>
      <c r="E156" s="7" t="s">
        <v>30</v>
      </c>
      <c r="F156" s="7" t="s">
        <v>327</v>
      </c>
      <c r="G156" s="6" t="s">
        <v>32</v>
      </c>
      <c r="H156" s="7" t="s">
        <v>33</v>
      </c>
      <c r="I156" s="8">
        <v>1000</v>
      </c>
      <c r="J156" s="8"/>
      <c r="K156" s="9">
        <v>-3805.6300000000028</v>
      </c>
    </row>
    <row r="157" spans="1:11" x14ac:dyDescent="0.3">
      <c r="A157" s="10">
        <v>153</v>
      </c>
      <c r="B157" s="10" t="s">
        <v>328</v>
      </c>
      <c r="C157" s="10" t="s">
        <v>329</v>
      </c>
      <c r="D157" s="11" t="s">
        <v>19</v>
      </c>
      <c r="E157" s="11" t="s">
        <v>20</v>
      </c>
      <c r="F157" s="11" t="s">
        <v>21</v>
      </c>
      <c r="G157" s="10" t="s">
        <v>22</v>
      </c>
      <c r="H157" s="11" t="s">
        <v>19</v>
      </c>
      <c r="I157" s="12">
        <v>930</v>
      </c>
      <c r="J157" s="12"/>
      <c r="K157" s="13">
        <v>-4735.6300000000028</v>
      </c>
    </row>
    <row r="158" spans="1:11" x14ac:dyDescent="0.3">
      <c r="A158" s="10">
        <v>154</v>
      </c>
      <c r="B158" s="10" t="s">
        <v>330</v>
      </c>
      <c r="C158" s="10" t="s">
        <v>329</v>
      </c>
      <c r="D158" s="11" t="s">
        <v>82</v>
      </c>
      <c r="E158" s="11" t="s">
        <v>30</v>
      </c>
      <c r="F158" s="11" t="s">
        <v>331</v>
      </c>
      <c r="G158" s="10" t="s">
        <v>84</v>
      </c>
      <c r="H158" s="11" t="s">
        <v>85</v>
      </c>
      <c r="I158" s="12"/>
      <c r="J158" s="12">
        <v>4500</v>
      </c>
      <c r="K158" s="13">
        <v>-235.63000000000281</v>
      </c>
    </row>
    <row r="159" spans="1:11" x14ac:dyDescent="0.3">
      <c r="A159" s="10">
        <v>155</v>
      </c>
      <c r="B159" s="10" t="s">
        <v>330</v>
      </c>
      <c r="C159" s="10" t="s">
        <v>329</v>
      </c>
      <c r="D159" s="11" t="s">
        <v>332</v>
      </c>
      <c r="E159" s="11" t="s">
        <v>102</v>
      </c>
      <c r="F159" s="11" t="s">
        <v>333</v>
      </c>
      <c r="G159" s="10" t="s">
        <v>104</v>
      </c>
      <c r="H159" s="11" t="s">
        <v>105</v>
      </c>
      <c r="I159" s="12">
        <v>4500</v>
      </c>
      <c r="J159" s="12"/>
      <c r="K159" s="13">
        <v>-4735.6300000000028</v>
      </c>
    </row>
    <row r="160" spans="1:11" x14ac:dyDescent="0.3">
      <c r="A160" s="10">
        <v>156</v>
      </c>
      <c r="B160" s="10" t="s">
        <v>334</v>
      </c>
      <c r="C160" s="10" t="s">
        <v>329</v>
      </c>
      <c r="D160" s="11" t="s">
        <v>335</v>
      </c>
      <c r="E160" s="11" t="s">
        <v>315</v>
      </c>
      <c r="F160" s="11" t="s">
        <v>336</v>
      </c>
      <c r="G160" s="10" t="s">
        <v>110</v>
      </c>
      <c r="H160" s="11" t="s">
        <v>111</v>
      </c>
      <c r="I160" s="12"/>
      <c r="J160" s="12">
        <v>822.5</v>
      </c>
      <c r="K160" s="13">
        <v>-3913.1300000000028</v>
      </c>
    </row>
    <row r="161" spans="1:11" x14ac:dyDescent="0.3">
      <c r="A161" s="10">
        <v>157</v>
      </c>
      <c r="B161" s="10" t="s">
        <v>334</v>
      </c>
      <c r="C161" s="10" t="s">
        <v>329</v>
      </c>
      <c r="D161" s="11" t="s">
        <v>337</v>
      </c>
      <c r="E161" s="11" t="s">
        <v>25</v>
      </c>
      <c r="F161" s="11" t="s">
        <v>338</v>
      </c>
      <c r="G161" s="10" t="s">
        <v>27</v>
      </c>
      <c r="H161" s="11" t="s">
        <v>28</v>
      </c>
      <c r="I161" s="12"/>
      <c r="J161" s="12">
        <v>11053.03</v>
      </c>
      <c r="K161" s="12">
        <v>7139.8999999999978</v>
      </c>
    </row>
    <row r="162" spans="1:11" x14ac:dyDescent="0.3">
      <c r="A162" s="10">
        <v>158</v>
      </c>
      <c r="B162" s="10" t="s">
        <v>339</v>
      </c>
      <c r="C162" s="10" t="s">
        <v>329</v>
      </c>
      <c r="D162" s="11" t="s">
        <v>58</v>
      </c>
      <c r="E162" s="11" t="s">
        <v>54</v>
      </c>
      <c r="F162" s="11" t="s">
        <v>340</v>
      </c>
      <c r="G162" s="10" t="s">
        <v>60</v>
      </c>
      <c r="H162" s="11" t="s">
        <v>61</v>
      </c>
      <c r="I162" s="12"/>
      <c r="J162" s="12">
        <v>1962</v>
      </c>
      <c r="K162" s="12">
        <v>9101.8999999999978</v>
      </c>
    </row>
    <row r="163" spans="1:11" x14ac:dyDescent="0.3">
      <c r="A163" s="10">
        <v>159</v>
      </c>
      <c r="B163" s="10" t="s">
        <v>341</v>
      </c>
      <c r="C163" s="10" t="s">
        <v>329</v>
      </c>
      <c r="D163" s="11" t="s">
        <v>67</v>
      </c>
      <c r="E163" s="11" t="s">
        <v>68</v>
      </c>
      <c r="F163" s="11" t="s">
        <v>69</v>
      </c>
      <c r="G163" s="10" t="s">
        <v>70</v>
      </c>
      <c r="H163" s="11" t="s">
        <v>71</v>
      </c>
      <c r="I163" s="12">
        <v>5.3</v>
      </c>
      <c r="J163" s="12"/>
      <c r="K163" s="12">
        <v>9096.5999999999985</v>
      </c>
    </row>
    <row r="164" spans="1:11" x14ac:dyDescent="0.3">
      <c r="A164" s="10">
        <v>160</v>
      </c>
      <c r="B164" s="10" t="s">
        <v>341</v>
      </c>
      <c r="C164" s="10" t="s">
        <v>329</v>
      </c>
      <c r="D164" s="11" t="s">
        <v>72</v>
      </c>
      <c r="E164" s="11" t="s">
        <v>73</v>
      </c>
      <c r="F164" s="11" t="s">
        <v>74</v>
      </c>
      <c r="G164" s="10" t="s">
        <v>75</v>
      </c>
      <c r="H164" s="11" t="s">
        <v>72</v>
      </c>
      <c r="I164" s="12">
        <v>1561</v>
      </c>
      <c r="J164" s="12"/>
      <c r="K164" s="12">
        <v>7535.5999999999995</v>
      </c>
    </row>
    <row r="165" spans="1:11" x14ac:dyDescent="0.3">
      <c r="A165" s="10">
        <v>161</v>
      </c>
      <c r="B165" s="10" t="s">
        <v>342</v>
      </c>
      <c r="C165" s="10" t="s">
        <v>329</v>
      </c>
      <c r="D165" s="11" t="s">
        <v>67</v>
      </c>
      <c r="E165" s="11" t="s">
        <v>68</v>
      </c>
      <c r="F165" s="11" t="s">
        <v>69</v>
      </c>
      <c r="G165" s="10" t="s">
        <v>70</v>
      </c>
      <c r="H165" s="11" t="s">
        <v>71</v>
      </c>
      <c r="I165" s="12">
        <v>5.3</v>
      </c>
      <c r="J165" s="12"/>
      <c r="K165" s="12">
        <v>7530.2999999999984</v>
      </c>
    </row>
    <row r="166" spans="1:11" x14ac:dyDescent="0.3">
      <c r="A166" s="10">
        <v>162</v>
      </c>
      <c r="B166" s="10" t="s">
        <v>342</v>
      </c>
      <c r="C166" s="10" t="s">
        <v>329</v>
      </c>
      <c r="D166" s="11" t="s">
        <v>72</v>
      </c>
      <c r="E166" s="11" t="s">
        <v>73</v>
      </c>
      <c r="F166" s="11" t="s">
        <v>74</v>
      </c>
      <c r="G166" s="10" t="s">
        <v>75</v>
      </c>
      <c r="H166" s="11" t="s">
        <v>72</v>
      </c>
      <c r="I166" s="12">
        <v>1962</v>
      </c>
      <c r="J166" s="12"/>
      <c r="K166" s="12">
        <v>5568.2999999999984</v>
      </c>
    </row>
    <row r="167" spans="1:11" x14ac:dyDescent="0.3">
      <c r="A167" s="10">
        <v>163</v>
      </c>
      <c r="B167" s="10" t="s">
        <v>342</v>
      </c>
      <c r="C167" s="10" t="s">
        <v>329</v>
      </c>
      <c r="D167" s="11" t="s">
        <v>29</v>
      </c>
      <c r="E167" s="11" t="s">
        <v>30</v>
      </c>
      <c r="F167" s="11" t="s">
        <v>343</v>
      </c>
      <c r="G167" s="10" t="s">
        <v>32</v>
      </c>
      <c r="H167" s="11" t="s">
        <v>33</v>
      </c>
      <c r="I167" s="12">
        <v>9000</v>
      </c>
      <c r="J167" s="12"/>
      <c r="K167" s="13">
        <v>-3431.7000000000021</v>
      </c>
    </row>
    <row r="168" spans="1:11" x14ac:dyDescent="0.3">
      <c r="A168" s="10">
        <v>164</v>
      </c>
      <c r="B168" s="10" t="s">
        <v>344</v>
      </c>
      <c r="C168" s="10" t="s">
        <v>329</v>
      </c>
      <c r="D168" s="11" t="s">
        <v>29</v>
      </c>
      <c r="E168" s="11" t="s">
        <v>30</v>
      </c>
      <c r="F168" s="11" t="s">
        <v>345</v>
      </c>
      <c r="G168" s="10" t="s">
        <v>32</v>
      </c>
      <c r="H168" s="11" t="s">
        <v>33</v>
      </c>
      <c r="I168" s="12">
        <v>1800</v>
      </c>
      <c r="J168" s="12"/>
      <c r="K168" s="13">
        <v>-5231.7000000000016</v>
      </c>
    </row>
    <row r="169" spans="1:11" x14ac:dyDescent="0.3">
      <c r="A169" s="14">
        <v>165</v>
      </c>
      <c r="B169" s="14" t="s">
        <v>346</v>
      </c>
      <c r="C169" s="14" t="s">
        <v>347</v>
      </c>
      <c r="D169" s="15" t="s">
        <v>58</v>
      </c>
      <c r="E169" s="15" t="s">
        <v>54</v>
      </c>
      <c r="F169" s="15" t="s">
        <v>348</v>
      </c>
      <c r="G169" s="14" t="s">
        <v>60</v>
      </c>
      <c r="H169" s="15" t="s">
        <v>61</v>
      </c>
      <c r="I169" s="16"/>
      <c r="J169" s="16">
        <v>1962</v>
      </c>
      <c r="K169" s="17">
        <v>-3269.7000000000021</v>
      </c>
    </row>
    <row r="170" spans="1:11" x14ac:dyDescent="0.3">
      <c r="A170" s="14">
        <v>166</v>
      </c>
      <c r="B170" s="14" t="s">
        <v>346</v>
      </c>
      <c r="C170" s="14" t="s">
        <v>347</v>
      </c>
      <c r="D170" s="15" t="s">
        <v>19</v>
      </c>
      <c r="E170" s="15" t="s">
        <v>20</v>
      </c>
      <c r="F170" s="15" t="s">
        <v>21</v>
      </c>
      <c r="G170" s="14" t="s">
        <v>22</v>
      </c>
      <c r="H170" s="15" t="s">
        <v>19</v>
      </c>
      <c r="I170" s="16">
        <v>930</v>
      </c>
      <c r="J170" s="16"/>
      <c r="K170" s="17">
        <v>-4199.7000000000016</v>
      </c>
    </row>
    <row r="171" spans="1:11" x14ac:dyDescent="0.3">
      <c r="A171" s="14">
        <v>167</v>
      </c>
      <c r="B171" s="14" t="s">
        <v>346</v>
      </c>
      <c r="C171" s="14" t="s">
        <v>347</v>
      </c>
      <c r="D171" s="15" t="s">
        <v>29</v>
      </c>
      <c r="E171" s="15" t="s">
        <v>30</v>
      </c>
      <c r="F171" s="15" t="s">
        <v>349</v>
      </c>
      <c r="G171" s="14" t="s">
        <v>32</v>
      </c>
      <c r="H171" s="15" t="s">
        <v>33</v>
      </c>
      <c r="I171" s="16">
        <v>2000</v>
      </c>
      <c r="J171" s="16"/>
      <c r="K171" s="17">
        <v>-6199.7000000000016</v>
      </c>
    </row>
    <row r="172" spans="1:11" x14ac:dyDescent="0.3">
      <c r="A172" s="14">
        <v>168</v>
      </c>
      <c r="B172" s="14" t="s">
        <v>350</v>
      </c>
      <c r="C172" s="14" t="s">
        <v>347</v>
      </c>
      <c r="D172" s="15" t="s">
        <v>351</v>
      </c>
      <c r="E172" s="15" t="s">
        <v>25</v>
      </c>
      <c r="F172" s="15" t="s">
        <v>352</v>
      </c>
      <c r="G172" s="14" t="s">
        <v>27</v>
      </c>
      <c r="H172" s="15" t="s">
        <v>28</v>
      </c>
      <c r="I172" s="16"/>
      <c r="J172" s="16">
        <v>16545.27</v>
      </c>
      <c r="K172" s="16">
        <v>10345.57</v>
      </c>
    </row>
    <row r="173" spans="1:11" x14ac:dyDescent="0.3">
      <c r="A173" s="14">
        <v>169</v>
      </c>
      <c r="B173" s="14" t="s">
        <v>353</v>
      </c>
      <c r="C173" s="14" t="s">
        <v>347</v>
      </c>
      <c r="D173" s="15" t="s">
        <v>29</v>
      </c>
      <c r="E173" s="15" t="s">
        <v>30</v>
      </c>
      <c r="F173" s="15" t="s">
        <v>354</v>
      </c>
      <c r="G173" s="14" t="s">
        <v>32</v>
      </c>
      <c r="H173" s="15" t="s">
        <v>33</v>
      </c>
      <c r="I173" s="16">
        <v>5000</v>
      </c>
      <c r="J173" s="16"/>
      <c r="K173" s="16">
        <v>5345.57</v>
      </c>
    </row>
    <row r="174" spans="1:11" x14ac:dyDescent="0.3">
      <c r="A174" s="14">
        <v>170</v>
      </c>
      <c r="B174" s="14" t="s">
        <v>353</v>
      </c>
      <c r="C174" s="14" t="s">
        <v>347</v>
      </c>
      <c r="D174" s="15" t="s">
        <v>29</v>
      </c>
      <c r="E174" s="15" t="s">
        <v>30</v>
      </c>
      <c r="F174" s="15" t="s">
        <v>355</v>
      </c>
      <c r="G174" s="14" t="s">
        <v>32</v>
      </c>
      <c r="H174" s="15" t="s">
        <v>33</v>
      </c>
      <c r="I174" s="16">
        <v>3000</v>
      </c>
      <c r="J174" s="16"/>
      <c r="K174" s="16">
        <v>2345.5700000000002</v>
      </c>
    </row>
    <row r="175" spans="1:11" x14ac:dyDescent="0.3">
      <c r="A175" s="14">
        <v>171</v>
      </c>
      <c r="B175" s="14" t="s">
        <v>353</v>
      </c>
      <c r="C175" s="14" t="s">
        <v>347</v>
      </c>
      <c r="D175" s="15" t="s">
        <v>356</v>
      </c>
      <c r="E175" s="15" t="s">
        <v>102</v>
      </c>
      <c r="F175" s="15" t="s">
        <v>357</v>
      </c>
      <c r="G175" s="14" t="s">
        <v>104</v>
      </c>
      <c r="H175" s="15" t="s">
        <v>105</v>
      </c>
      <c r="I175" s="16">
        <v>5000</v>
      </c>
      <c r="J175" s="16"/>
      <c r="K175" s="17">
        <v>-2654.43</v>
      </c>
    </row>
    <row r="176" spans="1:11" x14ac:dyDescent="0.3">
      <c r="A176" s="14">
        <v>172</v>
      </c>
      <c r="B176" s="14" t="s">
        <v>358</v>
      </c>
      <c r="C176" s="14" t="s">
        <v>347</v>
      </c>
      <c r="D176" s="15" t="s">
        <v>359</v>
      </c>
      <c r="E176" s="15" t="s">
        <v>360</v>
      </c>
      <c r="F176" s="15" t="s">
        <v>361</v>
      </c>
      <c r="G176" s="14" t="s">
        <v>144</v>
      </c>
      <c r="H176" s="15" t="s">
        <v>145</v>
      </c>
      <c r="I176" s="16">
        <v>590</v>
      </c>
      <c r="J176" s="16"/>
      <c r="K176" s="17">
        <v>-3244.43</v>
      </c>
    </row>
    <row r="177" spans="1:11" x14ac:dyDescent="0.3">
      <c r="A177" s="14">
        <v>173</v>
      </c>
      <c r="B177" s="14" t="s">
        <v>362</v>
      </c>
      <c r="C177" s="14" t="s">
        <v>347</v>
      </c>
      <c r="D177" s="15" t="s">
        <v>178</v>
      </c>
      <c r="E177" s="15" t="s">
        <v>54</v>
      </c>
      <c r="F177" s="15" t="s">
        <v>363</v>
      </c>
      <c r="G177" s="14" t="s">
        <v>177</v>
      </c>
      <c r="H177" s="15" t="s">
        <v>178</v>
      </c>
      <c r="I177" s="16"/>
      <c r="J177" s="16">
        <v>10000</v>
      </c>
      <c r="K177" s="16">
        <v>6755.57</v>
      </c>
    </row>
    <row r="178" spans="1:11" x14ac:dyDescent="0.3">
      <c r="A178" s="14">
        <v>174</v>
      </c>
      <c r="B178" s="14" t="s">
        <v>362</v>
      </c>
      <c r="C178" s="14" t="s">
        <v>347</v>
      </c>
      <c r="D178" s="15" t="s">
        <v>67</v>
      </c>
      <c r="E178" s="15" t="s">
        <v>68</v>
      </c>
      <c r="F178" s="15" t="s">
        <v>69</v>
      </c>
      <c r="G178" s="14" t="s">
        <v>70</v>
      </c>
      <c r="H178" s="15" t="s">
        <v>71</v>
      </c>
      <c r="I178" s="16">
        <v>5.3</v>
      </c>
      <c r="J178" s="16"/>
      <c r="K178" s="16">
        <v>6750.27</v>
      </c>
    </row>
    <row r="179" spans="1:11" x14ac:dyDescent="0.3">
      <c r="A179" s="14">
        <v>175</v>
      </c>
      <c r="B179" s="14" t="s">
        <v>362</v>
      </c>
      <c r="C179" s="14" t="s">
        <v>347</v>
      </c>
      <c r="D179" s="15" t="s">
        <v>72</v>
      </c>
      <c r="E179" s="15" t="s">
        <v>73</v>
      </c>
      <c r="F179" s="15" t="s">
        <v>74</v>
      </c>
      <c r="G179" s="14" t="s">
        <v>75</v>
      </c>
      <c r="H179" s="15" t="s">
        <v>72</v>
      </c>
      <c r="I179" s="16">
        <v>1561</v>
      </c>
      <c r="J179" s="16"/>
      <c r="K179" s="16">
        <v>5189.2700000000004</v>
      </c>
    </row>
    <row r="180" spans="1:11" x14ac:dyDescent="0.3">
      <c r="A180" s="14">
        <v>176</v>
      </c>
      <c r="B180" s="14" t="s">
        <v>364</v>
      </c>
      <c r="C180" s="14" t="s">
        <v>347</v>
      </c>
      <c r="D180" s="15" t="s">
        <v>67</v>
      </c>
      <c r="E180" s="15" t="s">
        <v>68</v>
      </c>
      <c r="F180" s="15" t="s">
        <v>69</v>
      </c>
      <c r="G180" s="14" t="s">
        <v>70</v>
      </c>
      <c r="H180" s="15" t="s">
        <v>71</v>
      </c>
      <c r="I180" s="16">
        <v>5.3</v>
      </c>
      <c r="J180" s="16"/>
      <c r="K180" s="16">
        <v>5183.9699999999993</v>
      </c>
    </row>
    <row r="181" spans="1:11" x14ac:dyDescent="0.3">
      <c r="A181" s="14">
        <v>177</v>
      </c>
      <c r="B181" s="14" t="s">
        <v>364</v>
      </c>
      <c r="C181" s="14" t="s">
        <v>347</v>
      </c>
      <c r="D181" s="15" t="s">
        <v>72</v>
      </c>
      <c r="E181" s="15" t="s">
        <v>73</v>
      </c>
      <c r="F181" s="15" t="s">
        <v>74</v>
      </c>
      <c r="G181" s="14" t="s">
        <v>75</v>
      </c>
      <c r="H181" s="15" t="s">
        <v>72</v>
      </c>
      <c r="I181" s="16">
        <v>1962</v>
      </c>
      <c r="J181" s="16"/>
      <c r="K181" s="16">
        <v>3221.9699999999989</v>
      </c>
    </row>
    <row r="182" spans="1:11" x14ac:dyDescent="0.3">
      <c r="A182" s="14">
        <v>178</v>
      </c>
      <c r="B182" s="14" t="s">
        <v>365</v>
      </c>
      <c r="C182" s="14" t="s">
        <v>347</v>
      </c>
      <c r="D182" s="15" t="s">
        <v>29</v>
      </c>
      <c r="E182" s="15" t="s">
        <v>30</v>
      </c>
      <c r="F182" s="15" t="s">
        <v>366</v>
      </c>
      <c r="G182" s="14" t="s">
        <v>32</v>
      </c>
      <c r="H182" s="15" t="s">
        <v>33</v>
      </c>
      <c r="I182" s="16">
        <v>8500</v>
      </c>
      <c r="J182" s="16"/>
      <c r="K182" s="17">
        <v>-5278.0300000000007</v>
      </c>
    </row>
    <row r="183" spans="1:11" x14ac:dyDescent="0.3">
      <c r="A183" s="6">
        <v>179</v>
      </c>
      <c r="B183" s="6" t="s">
        <v>367</v>
      </c>
      <c r="C183" s="6" t="s">
        <v>368</v>
      </c>
      <c r="D183" s="7" t="s">
        <v>19</v>
      </c>
      <c r="E183" s="7" t="s">
        <v>20</v>
      </c>
      <c r="F183" s="7" t="s">
        <v>21</v>
      </c>
      <c r="G183" s="6" t="s">
        <v>22</v>
      </c>
      <c r="H183" s="7" t="s">
        <v>19</v>
      </c>
      <c r="I183" s="8">
        <v>930</v>
      </c>
      <c r="J183" s="8"/>
      <c r="K183" s="9">
        <v>-6208.0300000000007</v>
      </c>
    </row>
    <row r="184" spans="1:11" x14ac:dyDescent="0.3">
      <c r="A184" s="6">
        <v>180</v>
      </c>
      <c r="B184" s="6" t="s">
        <v>369</v>
      </c>
      <c r="C184" s="6" t="s">
        <v>368</v>
      </c>
      <c r="D184" s="7" t="s">
        <v>370</v>
      </c>
      <c r="E184" s="7" t="s">
        <v>25</v>
      </c>
      <c r="F184" s="7" t="s">
        <v>371</v>
      </c>
      <c r="G184" s="6" t="s">
        <v>27</v>
      </c>
      <c r="H184" s="7" t="s">
        <v>28</v>
      </c>
      <c r="I184" s="8"/>
      <c r="J184" s="8">
        <v>25309.94</v>
      </c>
      <c r="K184" s="8">
        <v>19101.91</v>
      </c>
    </row>
    <row r="185" spans="1:11" x14ac:dyDescent="0.3">
      <c r="A185" s="6">
        <v>181</v>
      </c>
      <c r="B185" s="6" t="s">
        <v>369</v>
      </c>
      <c r="C185" s="6" t="s">
        <v>368</v>
      </c>
      <c r="D185" s="7" t="s">
        <v>248</v>
      </c>
      <c r="E185" s="7" t="s">
        <v>45</v>
      </c>
      <c r="F185" s="7" t="s">
        <v>372</v>
      </c>
      <c r="G185" s="6" t="s">
        <v>144</v>
      </c>
      <c r="H185" s="7" t="s">
        <v>145</v>
      </c>
      <c r="I185" s="8">
        <v>220</v>
      </c>
      <c r="J185" s="8"/>
      <c r="K185" s="8">
        <v>18881.91</v>
      </c>
    </row>
    <row r="186" spans="1:11" x14ac:dyDescent="0.3">
      <c r="A186" s="6">
        <v>182</v>
      </c>
      <c r="B186" s="6" t="s">
        <v>369</v>
      </c>
      <c r="C186" s="6" t="s">
        <v>368</v>
      </c>
      <c r="D186" s="7" t="s">
        <v>29</v>
      </c>
      <c r="E186" s="7" t="s">
        <v>30</v>
      </c>
      <c r="F186" s="7" t="s">
        <v>373</v>
      </c>
      <c r="G186" s="6" t="s">
        <v>32</v>
      </c>
      <c r="H186" s="7" t="s">
        <v>33</v>
      </c>
      <c r="I186" s="8">
        <v>10000</v>
      </c>
      <c r="J186" s="8"/>
      <c r="K186" s="8">
        <v>8881.9099999999962</v>
      </c>
    </row>
    <row r="187" spans="1:11" x14ac:dyDescent="0.3">
      <c r="A187" s="6">
        <v>183</v>
      </c>
      <c r="B187" s="6" t="s">
        <v>369</v>
      </c>
      <c r="C187" s="6" t="s">
        <v>368</v>
      </c>
      <c r="D187" s="7" t="s">
        <v>374</v>
      </c>
      <c r="E187" s="7" t="s">
        <v>102</v>
      </c>
      <c r="F187" s="7" t="s">
        <v>375</v>
      </c>
      <c r="G187" s="6" t="s">
        <v>104</v>
      </c>
      <c r="H187" s="7" t="s">
        <v>105</v>
      </c>
      <c r="I187" s="8">
        <v>5000</v>
      </c>
      <c r="J187" s="8"/>
      <c r="K187" s="8">
        <v>3881.9099999999962</v>
      </c>
    </row>
    <row r="188" spans="1:11" x14ac:dyDescent="0.3">
      <c r="A188" s="6">
        <v>184</v>
      </c>
      <c r="B188" s="6" t="s">
        <v>376</v>
      </c>
      <c r="C188" s="6" t="s">
        <v>368</v>
      </c>
      <c r="D188" s="7" t="s">
        <v>58</v>
      </c>
      <c r="E188" s="7" t="s">
        <v>54</v>
      </c>
      <c r="F188" s="7" t="s">
        <v>377</v>
      </c>
      <c r="G188" s="6" t="s">
        <v>60</v>
      </c>
      <c r="H188" s="7" t="s">
        <v>61</v>
      </c>
      <c r="I188" s="8"/>
      <c r="J188" s="8">
        <v>1962</v>
      </c>
      <c r="K188" s="8">
        <v>5843.9099999999962</v>
      </c>
    </row>
    <row r="189" spans="1:11" x14ac:dyDescent="0.3">
      <c r="A189" s="6">
        <v>185</v>
      </c>
      <c r="B189" s="6" t="s">
        <v>378</v>
      </c>
      <c r="C189" s="6" t="s">
        <v>368</v>
      </c>
      <c r="D189" s="7" t="s">
        <v>178</v>
      </c>
      <c r="E189" s="7" t="s">
        <v>54</v>
      </c>
      <c r="F189" s="7" t="s">
        <v>363</v>
      </c>
      <c r="G189" s="6" t="s">
        <v>177</v>
      </c>
      <c r="H189" s="7" t="s">
        <v>178</v>
      </c>
      <c r="I189" s="8"/>
      <c r="J189" s="8">
        <v>10000</v>
      </c>
      <c r="K189" s="8">
        <v>15843.91</v>
      </c>
    </row>
    <row r="190" spans="1:11" x14ac:dyDescent="0.3">
      <c r="A190" s="6">
        <v>186</v>
      </c>
      <c r="B190" s="6" t="s">
        <v>378</v>
      </c>
      <c r="C190" s="6" t="s">
        <v>368</v>
      </c>
      <c r="D190" s="7" t="s">
        <v>58</v>
      </c>
      <c r="E190" s="7" t="s">
        <v>54</v>
      </c>
      <c r="F190" s="7" t="s">
        <v>379</v>
      </c>
      <c r="G190" s="6" t="s">
        <v>60</v>
      </c>
      <c r="H190" s="7" t="s">
        <v>61</v>
      </c>
      <c r="I190" s="8"/>
      <c r="J190" s="8">
        <v>10000</v>
      </c>
      <c r="K190" s="8">
        <v>25843.91</v>
      </c>
    </row>
    <row r="191" spans="1:11" x14ac:dyDescent="0.3">
      <c r="A191" s="6">
        <v>187</v>
      </c>
      <c r="B191" s="6" t="s">
        <v>380</v>
      </c>
      <c r="C191" s="6" t="s">
        <v>368</v>
      </c>
      <c r="D191" s="7" t="s">
        <v>67</v>
      </c>
      <c r="E191" s="7" t="s">
        <v>68</v>
      </c>
      <c r="F191" s="7" t="s">
        <v>69</v>
      </c>
      <c r="G191" s="6" t="s">
        <v>70</v>
      </c>
      <c r="H191" s="7" t="s">
        <v>71</v>
      </c>
      <c r="I191" s="8">
        <v>5.3</v>
      </c>
      <c r="J191" s="8"/>
      <c r="K191" s="8">
        <v>25838.61</v>
      </c>
    </row>
    <row r="192" spans="1:11" x14ac:dyDescent="0.3">
      <c r="A192" s="6">
        <v>188</v>
      </c>
      <c r="B192" s="6" t="s">
        <v>380</v>
      </c>
      <c r="C192" s="6" t="s">
        <v>368</v>
      </c>
      <c r="D192" s="7" t="s">
        <v>72</v>
      </c>
      <c r="E192" s="7" t="s">
        <v>73</v>
      </c>
      <c r="F192" s="7" t="s">
        <v>74</v>
      </c>
      <c r="G192" s="6" t="s">
        <v>75</v>
      </c>
      <c r="H192" s="7" t="s">
        <v>72</v>
      </c>
      <c r="I192" s="8">
        <v>1561</v>
      </c>
      <c r="J192" s="8"/>
      <c r="K192" s="8">
        <v>24277.61</v>
      </c>
    </row>
    <row r="193" spans="1:11" x14ac:dyDescent="0.3">
      <c r="A193" s="6">
        <v>189</v>
      </c>
      <c r="B193" s="6" t="s">
        <v>381</v>
      </c>
      <c r="C193" s="6" t="s">
        <v>368</v>
      </c>
      <c r="D193" s="7" t="s">
        <v>29</v>
      </c>
      <c r="E193" s="7" t="s">
        <v>30</v>
      </c>
      <c r="F193" s="7" t="s">
        <v>382</v>
      </c>
      <c r="G193" s="6" t="s">
        <v>32</v>
      </c>
      <c r="H193" s="7" t="s">
        <v>33</v>
      </c>
      <c r="I193" s="8">
        <v>20000</v>
      </c>
      <c r="J193" s="8"/>
      <c r="K193" s="8">
        <v>4277.6099999999969</v>
      </c>
    </row>
    <row r="194" spans="1:11" x14ac:dyDescent="0.3">
      <c r="A194" s="6">
        <v>190</v>
      </c>
      <c r="B194" s="6" t="s">
        <v>383</v>
      </c>
      <c r="C194" s="6" t="s">
        <v>368</v>
      </c>
      <c r="D194" s="7" t="s">
        <v>67</v>
      </c>
      <c r="E194" s="7" t="s">
        <v>68</v>
      </c>
      <c r="F194" s="7" t="s">
        <v>69</v>
      </c>
      <c r="G194" s="6" t="s">
        <v>70</v>
      </c>
      <c r="H194" s="7" t="s">
        <v>71</v>
      </c>
      <c r="I194" s="8">
        <v>5.3</v>
      </c>
      <c r="J194" s="8"/>
      <c r="K194" s="8">
        <v>4272.3099999999968</v>
      </c>
    </row>
    <row r="195" spans="1:11" x14ac:dyDescent="0.3">
      <c r="A195" s="6">
        <v>191</v>
      </c>
      <c r="B195" s="6" t="s">
        <v>383</v>
      </c>
      <c r="C195" s="6" t="s">
        <v>368</v>
      </c>
      <c r="D195" s="7" t="s">
        <v>72</v>
      </c>
      <c r="E195" s="7" t="s">
        <v>73</v>
      </c>
      <c r="F195" s="7" t="s">
        <v>74</v>
      </c>
      <c r="G195" s="6" t="s">
        <v>75</v>
      </c>
      <c r="H195" s="7" t="s">
        <v>72</v>
      </c>
      <c r="I195" s="8">
        <v>1962</v>
      </c>
      <c r="J195" s="8"/>
      <c r="K195" s="8">
        <v>2310.3099999999972</v>
      </c>
    </row>
    <row r="196" spans="1:11" x14ac:dyDescent="0.3">
      <c r="A196" s="6">
        <v>192</v>
      </c>
      <c r="B196" s="6" t="s">
        <v>383</v>
      </c>
      <c r="C196" s="6" t="s">
        <v>368</v>
      </c>
      <c r="D196" s="7" t="s">
        <v>29</v>
      </c>
      <c r="E196" s="7" t="s">
        <v>30</v>
      </c>
      <c r="F196" s="7" t="s">
        <v>384</v>
      </c>
      <c r="G196" s="6" t="s">
        <v>32</v>
      </c>
      <c r="H196" s="7" t="s">
        <v>33</v>
      </c>
      <c r="I196" s="8">
        <v>7000</v>
      </c>
      <c r="J196" s="8"/>
      <c r="K196" s="9">
        <v>-4689.6900000000032</v>
      </c>
    </row>
    <row r="197" spans="1:11" x14ac:dyDescent="0.3">
      <c r="A197" s="10">
        <v>193</v>
      </c>
      <c r="B197" s="10" t="s">
        <v>385</v>
      </c>
      <c r="C197" s="10" t="s">
        <v>386</v>
      </c>
      <c r="D197" s="11" t="s">
        <v>387</v>
      </c>
      <c r="E197" s="11" t="s">
        <v>128</v>
      </c>
      <c r="F197" s="11" t="s">
        <v>388</v>
      </c>
      <c r="G197" s="10" t="s">
        <v>389</v>
      </c>
      <c r="H197" s="11" t="s">
        <v>390</v>
      </c>
      <c r="I197" s="12"/>
      <c r="J197" s="12">
        <v>5138.2</v>
      </c>
      <c r="K197" s="12">
        <v>448.50999999999658</v>
      </c>
    </row>
    <row r="198" spans="1:11" x14ac:dyDescent="0.3">
      <c r="A198" s="10">
        <v>194</v>
      </c>
      <c r="B198" s="10" t="s">
        <v>385</v>
      </c>
      <c r="C198" s="10" t="s">
        <v>386</v>
      </c>
      <c r="D198" s="11" t="s">
        <v>19</v>
      </c>
      <c r="E198" s="11" t="s">
        <v>20</v>
      </c>
      <c r="F198" s="11" t="s">
        <v>21</v>
      </c>
      <c r="G198" s="10" t="s">
        <v>22</v>
      </c>
      <c r="H198" s="11" t="s">
        <v>19</v>
      </c>
      <c r="I198" s="12">
        <v>930</v>
      </c>
      <c r="J198" s="12"/>
      <c r="K198" s="13">
        <v>-481.49000000000342</v>
      </c>
    </row>
    <row r="199" spans="1:11" x14ac:dyDescent="0.3">
      <c r="A199" s="10">
        <v>195</v>
      </c>
      <c r="B199" s="10" t="s">
        <v>391</v>
      </c>
      <c r="C199" s="10" t="s">
        <v>386</v>
      </c>
      <c r="D199" s="11" t="s">
        <v>392</v>
      </c>
      <c r="E199" s="11" t="s">
        <v>102</v>
      </c>
      <c r="F199" s="11" t="s">
        <v>393</v>
      </c>
      <c r="G199" s="10" t="s">
        <v>104</v>
      </c>
      <c r="H199" s="11" t="s">
        <v>105</v>
      </c>
      <c r="I199" s="12">
        <v>4500</v>
      </c>
      <c r="J199" s="12"/>
      <c r="K199" s="13">
        <v>-4981.4900000000034</v>
      </c>
    </row>
    <row r="200" spans="1:11" x14ac:dyDescent="0.3">
      <c r="A200" s="10">
        <v>196</v>
      </c>
      <c r="B200" s="10" t="s">
        <v>394</v>
      </c>
      <c r="C200" s="10" t="s">
        <v>386</v>
      </c>
      <c r="D200" s="11" t="s">
        <v>395</v>
      </c>
      <c r="E200" s="11" t="s">
        <v>25</v>
      </c>
      <c r="F200" s="11" t="s">
        <v>396</v>
      </c>
      <c r="G200" s="10" t="s">
        <v>27</v>
      </c>
      <c r="H200" s="11" t="s">
        <v>28</v>
      </c>
      <c r="I200" s="12"/>
      <c r="J200" s="12">
        <v>23490.66</v>
      </c>
      <c r="K200" s="12">
        <v>18509.169999999998</v>
      </c>
    </row>
    <row r="201" spans="1:11" x14ac:dyDescent="0.3">
      <c r="A201" s="10">
        <v>197</v>
      </c>
      <c r="B201" s="10" t="s">
        <v>394</v>
      </c>
      <c r="C201" s="10" t="s">
        <v>386</v>
      </c>
      <c r="D201" s="11" t="s">
        <v>29</v>
      </c>
      <c r="E201" s="11" t="s">
        <v>30</v>
      </c>
      <c r="F201" s="11" t="s">
        <v>397</v>
      </c>
      <c r="G201" s="10" t="s">
        <v>32</v>
      </c>
      <c r="H201" s="11" t="s">
        <v>33</v>
      </c>
      <c r="I201" s="12">
        <v>10000</v>
      </c>
      <c r="J201" s="12"/>
      <c r="K201" s="12">
        <v>8509.1699999999983</v>
      </c>
    </row>
    <row r="202" spans="1:11" x14ac:dyDescent="0.3">
      <c r="A202" s="10">
        <v>198</v>
      </c>
      <c r="B202" s="10" t="s">
        <v>398</v>
      </c>
      <c r="C202" s="10" t="s">
        <v>386</v>
      </c>
      <c r="D202" s="11" t="s">
        <v>399</v>
      </c>
      <c r="E202" s="11" t="s">
        <v>400</v>
      </c>
      <c r="F202" s="11" t="s">
        <v>401</v>
      </c>
      <c r="G202" s="10" t="s">
        <v>402</v>
      </c>
      <c r="H202" s="11" t="s">
        <v>399</v>
      </c>
      <c r="I202" s="12">
        <v>675</v>
      </c>
      <c r="J202" s="12"/>
      <c r="K202" s="12">
        <v>7834.1699999999983</v>
      </c>
    </row>
    <row r="203" spans="1:11" x14ac:dyDescent="0.3">
      <c r="A203" s="10">
        <v>199</v>
      </c>
      <c r="B203" s="10" t="s">
        <v>403</v>
      </c>
      <c r="C203" s="10" t="s">
        <v>386</v>
      </c>
      <c r="D203" s="11" t="s">
        <v>248</v>
      </c>
      <c r="E203" s="11" t="s">
        <v>227</v>
      </c>
      <c r="F203" s="11" t="s">
        <v>404</v>
      </c>
      <c r="G203" s="10" t="s">
        <v>144</v>
      </c>
      <c r="H203" s="11" t="s">
        <v>145</v>
      </c>
      <c r="I203" s="12">
        <v>100</v>
      </c>
      <c r="J203" s="12"/>
      <c r="K203" s="12">
        <v>7734.1699999999983</v>
      </c>
    </row>
    <row r="204" spans="1:11" x14ac:dyDescent="0.3">
      <c r="A204" s="10">
        <v>200</v>
      </c>
      <c r="B204" s="10" t="s">
        <v>405</v>
      </c>
      <c r="C204" s="10" t="s">
        <v>386</v>
      </c>
      <c r="D204" s="11" t="s">
        <v>67</v>
      </c>
      <c r="E204" s="11" t="s">
        <v>68</v>
      </c>
      <c r="F204" s="11" t="s">
        <v>69</v>
      </c>
      <c r="G204" s="10" t="s">
        <v>70</v>
      </c>
      <c r="H204" s="11" t="s">
        <v>71</v>
      </c>
      <c r="I204" s="12">
        <v>5.3</v>
      </c>
      <c r="J204" s="12"/>
      <c r="K204" s="12">
        <v>7728.8699999999981</v>
      </c>
    </row>
    <row r="205" spans="1:11" x14ac:dyDescent="0.3">
      <c r="A205" s="10">
        <v>201</v>
      </c>
      <c r="B205" s="10" t="s">
        <v>405</v>
      </c>
      <c r="C205" s="10" t="s">
        <v>386</v>
      </c>
      <c r="D205" s="11" t="s">
        <v>72</v>
      </c>
      <c r="E205" s="11" t="s">
        <v>73</v>
      </c>
      <c r="F205" s="11" t="s">
        <v>74</v>
      </c>
      <c r="G205" s="10" t="s">
        <v>75</v>
      </c>
      <c r="H205" s="11" t="s">
        <v>72</v>
      </c>
      <c r="I205" s="12">
        <v>1561</v>
      </c>
      <c r="J205" s="12"/>
      <c r="K205" s="12">
        <v>6167.8699999999981</v>
      </c>
    </row>
    <row r="206" spans="1:11" x14ac:dyDescent="0.3">
      <c r="A206" s="10">
        <v>202</v>
      </c>
      <c r="B206" s="10" t="s">
        <v>406</v>
      </c>
      <c r="C206" s="10" t="s">
        <v>386</v>
      </c>
      <c r="D206" s="11" t="s">
        <v>29</v>
      </c>
      <c r="E206" s="11" t="s">
        <v>30</v>
      </c>
      <c r="F206" s="11" t="s">
        <v>407</v>
      </c>
      <c r="G206" s="10" t="s">
        <v>32</v>
      </c>
      <c r="H206" s="11" t="s">
        <v>33</v>
      </c>
      <c r="I206" s="12">
        <v>5000</v>
      </c>
      <c r="J206" s="12"/>
      <c r="K206" s="12">
        <v>1167.8699999999981</v>
      </c>
    </row>
    <row r="207" spans="1:11" x14ac:dyDescent="0.3">
      <c r="A207" s="10">
        <v>203</v>
      </c>
      <c r="B207" s="10" t="s">
        <v>408</v>
      </c>
      <c r="C207" s="10" t="s">
        <v>386</v>
      </c>
      <c r="D207" s="11" t="s">
        <v>67</v>
      </c>
      <c r="E207" s="11" t="s">
        <v>68</v>
      </c>
      <c r="F207" s="11" t="s">
        <v>69</v>
      </c>
      <c r="G207" s="10" t="s">
        <v>70</v>
      </c>
      <c r="H207" s="11" t="s">
        <v>71</v>
      </c>
      <c r="I207" s="12">
        <v>5.3</v>
      </c>
      <c r="J207" s="12"/>
      <c r="K207" s="12">
        <v>1162.5699999999979</v>
      </c>
    </row>
    <row r="208" spans="1:11" x14ac:dyDescent="0.3">
      <c r="A208" s="10">
        <v>204</v>
      </c>
      <c r="B208" s="10" t="s">
        <v>408</v>
      </c>
      <c r="C208" s="10" t="s">
        <v>386</v>
      </c>
      <c r="D208" s="11" t="s">
        <v>72</v>
      </c>
      <c r="E208" s="11" t="s">
        <v>73</v>
      </c>
      <c r="F208" s="11" t="s">
        <v>74</v>
      </c>
      <c r="G208" s="10" t="s">
        <v>75</v>
      </c>
      <c r="H208" s="11" t="s">
        <v>72</v>
      </c>
      <c r="I208" s="12">
        <v>1962</v>
      </c>
      <c r="J208" s="12"/>
      <c r="K208" s="13">
        <v>-799.43000000000188</v>
      </c>
    </row>
    <row r="209" spans="1:11" x14ac:dyDescent="0.3">
      <c r="A209" s="10">
        <v>205</v>
      </c>
      <c r="B209" s="10" t="s">
        <v>409</v>
      </c>
      <c r="C209" s="10" t="s">
        <v>386</v>
      </c>
      <c r="D209" s="11" t="s">
        <v>29</v>
      </c>
      <c r="E209" s="11" t="s">
        <v>30</v>
      </c>
      <c r="F209" s="11" t="s">
        <v>410</v>
      </c>
      <c r="G209" s="10" t="s">
        <v>32</v>
      </c>
      <c r="H209" s="11" t="s">
        <v>33</v>
      </c>
      <c r="I209" s="12">
        <v>2000</v>
      </c>
      <c r="J209" s="12"/>
      <c r="K209" s="13">
        <v>-2799.4300000000021</v>
      </c>
    </row>
    <row r="210" spans="1:11" x14ac:dyDescent="0.3">
      <c r="A210" s="14">
        <v>206</v>
      </c>
      <c r="B210" s="14" t="s">
        <v>411</v>
      </c>
      <c r="C210" s="14" t="s">
        <v>412</v>
      </c>
      <c r="D210" s="15" t="s">
        <v>19</v>
      </c>
      <c r="E210" s="15" t="s">
        <v>20</v>
      </c>
      <c r="F210" s="15" t="s">
        <v>21</v>
      </c>
      <c r="G210" s="14" t="s">
        <v>22</v>
      </c>
      <c r="H210" s="15" t="s">
        <v>19</v>
      </c>
      <c r="I210" s="16">
        <v>930</v>
      </c>
      <c r="J210" s="16"/>
      <c r="K210" s="17">
        <v>-3729.4300000000021</v>
      </c>
    </row>
    <row r="211" spans="1:11" x14ac:dyDescent="0.3">
      <c r="A211" s="14">
        <v>207</v>
      </c>
      <c r="B211" s="14" t="s">
        <v>411</v>
      </c>
      <c r="C211" s="14" t="s">
        <v>412</v>
      </c>
      <c r="D211" s="15" t="s">
        <v>29</v>
      </c>
      <c r="E211" s="15" t="s">
        <v>30</v>
      </c>
      <c r="F211" s="15" t="s">
        <v>413</v>
      </c>
      <c r="G211" s="14" t="s">
        <v>32</v>
      </c>
      <c r="H211" s="15" t="s">
        <v>33</v>
      </c>
      <c r="I211" s="16">
        <v>2000</v>
      </c>
      <c r="J211" s="16"/>
      <c r="K211" s="17">
        <v>-5729.4300000000021</v>
      </c>
    </row>
    <row r="212" spans="1:11" x14ac:dyDescent="0.3">
      <c r="A212" s="14">
        <v>208</v>
      </c>
      <c r="B212" s="14" t="s">
        <v>414</v>
      </c>
      <c r="C212" s="14" t="s">
        <v>412</v>
      </c>
      <c r="D212" s="15" t="s">
        <v>415</v>
      </c>
      <c r="E212" s="15" t="s">
        <v>25</v>
      </c>
      <c r="F212" s="15" t="s">
        <v>416</v>
      </c>
      <c r="G212" s="14" t="s">
        <v>27</v>
      </c>
      <c r="H212" s="15" t="s">
        <v>28</v>
      </c>
      <c r="I212" s="16"/>
      <c r="J212" s="16">
        <v>12748.77</v>
      </c>
      <c r="K212" s="16">
        <v>7019.3399999999983</v>
      </c>
    </row>
    <row r="213" spans="1:11" x14ac:dyDescent="0.3">
      <c r="A213" s="14">
        <v>209</v>
      </c>
      <c r="B213" s="14" t="s">
        <v>417</v>
      </c>
      <c r="C213" s="14" t="s">
        <v>412</v>
      </c>
      <c r="D213" s="15" t="s">
        <v>418</v>
      </c>
      <c r="E213" s="15" t="s">
        <v>102</v>
      </c>
      <c r="F213" s="15" t="s">
        <v>419</v>
      </c>
      <c r="G213" s="14" t="s">
        <v>104</v>
      </c>
      <c r="H213" s="15" t="s">
        <v>105</v>
      </c>
      <c r="I213" s="16">
        <v>4000</v>
      </c>
      <c r="J213" s="16"/>
      <c r="K213" s="16">
        <v>3019.3399999999979</v>
      </c>
    </row>
    <row r="214" spans="1:11" x14ac:dyDescent="0.3">
      <c r="A214" s="14">
        <v>210</v>
      </c>
      <c r="B214" s="14" t="s">
        <v>417</v>
      </c>
      <c r="C214" s="14" t="s">
        <v>412</v>
      </c>
      <c r="D214" s="15" t="s">
        <v>29</v>
      </c>
      <c r="E214" s="15" t="s">
        <v>30</v>
      </c>
      <c r="F214" s="15" t="s">
        <v>420</v>
      </c>
      <c r="G214" s="14" t="s">
        <v>32</v>
      </c>
      <c r="H214" s="15" t="s">
        <v>33</v>
      </c>
      <c r="I214" s="16">
        <v>5000</v>
      </c>
      <c r="J214" s="16"/>
      <c r="K214" s="17">
        <v>-1980.6600000000019</v>
      </c>
    </row>
    <row r="215" spans="1:11" x14ac:dyDescent="0.3">
      <c r="A215" s="14">
        <v>211</v>
      </c>
      <c r="B215" s="14" t="s">
        <v>421</v>
      </c>
      <c r="C215" s="14" t="s">
        <v>412</v>
      </c>
      <c r="D215" s="15" t="s">
        <v>29</v>
      </c>
      <c r="E215" s="15" t="s">
        <v>30</v>
      </c>
      <c r="F215" s="15" t="s">
        <v>422</v>
      </c>
      <c r="G215" s="14" t="s">
        <v>32</v>
      </c>
      <c r="H215" s="15" t="s">
        <v>33</v>
      </c>
      <c r="I215" s="16">
        <v>2000</v>
      </c>
      <c r="J215" s="16"/>
      <c r="K215" s="17">
        <v>-3980.6600000000021</v>
      </c>
    </row>
    <row r="216" spans="1:11" x14ac:dyDescent="0.3">
      <c r="A216" s="14">
        <v>212</v>
      </c>
      <c r="B216" s="14" t="s">
        <v>423</v>
      </c>
      <c r="C216" s="14" t="s">
        <v>412</v>
      </c>
      <c r="D216" s="15" t="s">
        <v>82</v>
      </c>
      <c r="E216" s="15" t="s">
        <v>30</v>
      </c>
      <c r="F216" s="15" t="s">
        <v>424</v>
      </c>
      <c r="G216" s="14" t="s">
        <v>84</v>
      </c>
      <c r="H216" s="15" t="s">
        <v>85</v>
      </c>
      <c r="I216" s="16"/>
      <c r="J216" s="16">
        <v>2300</v>
      </c>
      <c r="K216" s="17">
        <v>-1680.6600000000019</v>
      </c>
    </row>
    <row r="217" spans="1:11" x14ac:dyDescent="0.3">
      <c r="A217" s="14">
        <v>213</v>
      </c>
      <c r="B217" s="14" t="s">
        <v>425</v>
      </c>
      <c r="C217" s="14" t="s">
        <v>412</v>
      </c>
      <c r="D217" s="15" t="s">
        <v>58</v>
      </c>
      <c r="E217" s="15" t="s">
        <v>54</v>
      </c>
      <c r="F217" s="15" t="s">
        <v>426</v>
      </c>
      <c r="G217" s="14" t="s">
        <v>60</v>
      </c>
      <c r="H217" s="15" t="s">
        <v>61</v>
      </c>
      <c r="I217" s="16"/>
      <c r="J217" s="16">
        <v>1962</v>
      </c>
      <c r="K217" s="16">
        <v>281.33999999999833</v>
      </c>
    </row>
    <row r="218" spans="1:11" x14ac:dyDescent="0.3">
      <c r="A218" s="14">
        <v>214</v>
      </c>
      <c r="B218" s="14" t="s">
        <v>427</v>
      </c>
      <c r="C218" s="14" t="s">
        <v>412</v>
      </c>
      <c r="D218" s="15" t="s">
        <v>67</v>
      </c>
      <c r="E218" s="15" t="s">
        <v>68</v>
      </c>
      <c r="F218" s="15" t="s">
        <v>69</v>
      </c>
      <c r="G218" s="14" t="s">
        <v>70</v>
      </c>
      <c r="H218" s="15" t="s">
        <v>71</v>
      </c>
      <c r="I218" s="16">
        <v>5.3</v>
      </c>
      <c r="J218" s="16"/>
      <c r="K218" s="16">
        <v>276.03999999999832</v>
      </c>
    </row>
    <row r="219" spans="1:11" x14ac:dyDescent="0.3">
      <c r="A219" s="14">
        <v>215</v>
      </c>
      <c r="B219" s="14" t="s">
        <v>427</v>
      </c>
      <c r="C219" s="14" t="s">
        <v>412</v>
      </c>
      <c r="D219" s="15" t="s">
        <v>72</v>
      </c>
      <c r="E219" s="15" t="s">
        <v>73</v>
      </c>
      <c r="F219" s="15" t="s">
        <v>74</v>
      </c>
      <c r="G219" s="14" t="s">
        <v>75</v>
      </c>
      <c r="H219" s="15" t="s">
        <v>72</v>
      </c>
      <c r="I219" s="16">
        <v>1561</v>
      </c>
      <c r="J219" s="16"/>
      <c r="K219" s="17">
        <v>-1284.9600000000021</v>
      </c>
    </row>
    <row r="220" spans="1:11" x14ac:dyDescent="0.3">
      <c r="A220" s="14">
        <v>216</v>
      </c>
      <c r="B220" s="14" t="s">
        <v>428</v>
      </c>
      <c r="C220" s="14" t="s">
        <v>412</v>
      </c>
      <c r="D220" s="15" t="s">
        <v>248</v>
      </c>
      <c r="E220" s="15" t="s">
        <v>227</v>
      </c>
      <c r="F220" s="15" t="s">
        <v>429</v>
      </c>
      <c r="G220" s="14" t="s">
        <v>144</v>
      </c>
      <c r="H220" s="15" t="s">
        <v>145</v>
      </c>
      <c r="I220" s="16">
        <v>704</v>
      </c>
      <c r="J220" s="16"/>
      <c r="K220" s="17">
        <v>-1988.9600000000021</v>
      </c>
    </row>
    <row r="221" spans="1:11" x14ac:dyDescent="0.3">
      <c r="A221" s="14">
        <v>217</v>
      </c>
      <c r="B221" s="14" t="s">
        <v>430</v>
      </c>
      <c r="C221" s="14" t="s">
        <v>412</v>
      </c>
      <c r="D221" s="15" t="s">
        <v>67</v>
      </c>
      <c r="E221" s="15" t="s">
        <v>68</v>
      </c>
      <c r="F221" s="15" t="s">
        <v>69</v>
      </c>
      <c r="G221" s="14" t="s">
        <v>70</v>
      </c>
      <c r="H221" s="15" t="s">
        <v>71</v>
      </c>
      <c r="I221" s="16">
        <v>5.3</v>
      </c>
      <c r="J221" s="16"/>
      <c r="K221" s="17">
        <v>-1994.260000000002</v>
      </c>
    </row>
    <row r="222" spans="1:11" x14ac:dyDescent="0.3">
      <c r="A222" s="14">
        <v>218</v>
      </c>
      <c r="B222" s="14" t="s">
        <v>430</v>
      </c>
      <c r="C222" s="14" t="s">
        <v>412</v>
      </c>
      <c r="D222" s="15" t="s">
        <v>72</v>
      </c>
      <c r="E222" s="15" t="s">
        <v>73</v>
      </c>
      <c r="F222" s="15" t="s">
        <v>74</v>
      </c>
      <c r="G222" s="14" t="s">
        <v>75</v>
      </c>
      <c r="H222" s="15" t="s">
        <v>72</v>
      </c>
      <c r="I222" s="16">
        <v>1962</v>
      </c>
      <c r="J222" s="16"/>
      <c r="K222" s="17">
        <v>-3956.260000000002</v>
      </c>
    </row>
    <row r="223" spans="1:11" x14ac:dyDescent="0.3">
      <c r="A223" s="62" t="s">
        <v>431</v>
      </c>
      <c r="B223" s="59"/>
      <c r="C223" s="59"/>
      <c r="D223" s="59"/>
      <c r="E223" s="59"/>
      <c r="F223" s="59"/>
      <c r="G223" s="59"/>
      <c r="H223" s="60"/>
      <c r="I223" s="5"/>
      <c r="J223" s="5"/>
      <c r="K223" s="5">
        <v>-3956.260000000002</v>
      </c>
    </row>
  </sheetData>
  <mergeCells count="3">
    <mergeCell ref="A2:K2"/>
    <mergeCell ref="A1:K1"/>
    <mergeCell ref="A223:H2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workbookViewId="0">
      <pane xSplit="1" ySplit="3" topLeftCell="K10" activePane="bottomRight" state="frozen"/>
      <selection pane="topRight"/>
      <selection pane="bottomLeft"/>
      <selection pane="bottomRight" activeCell="N17" sqref="N17"/>
    </sheetView>
  </sheetViews>
  <sheetFormatPr defaultRowHeight="14.4" x14ac:dyDescent="0.3"/>
  <cols>
    <col min="1" max="1" width="36" customWidth="1"/>
    <col min="2" max="14" width="12" customWidth="1"/>
  </cols>
  <sheetData>
    <row r="1" spans="1:14" ht="28.05" customHeight="1" x14ac:dyDescent="0.3">
      <c r="A1" s="64" t="s">
        <v>432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6.05" customHeight="1" x14ac:dyDescent="0.3">
      <c r="A2" s="63" t="s">
        <v>433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</row>
    <row r="3" spans="1:14" x14ac:dyDescent="0.3">
      <c r="A3" s="18" t="s">
        <v>434</v>
      </c>
      <c r="B3" s="19" t="s">
        <v>435</v>
      </c>
      <c r="C3" s="19" t="s">
        <v>436</v>
      </c>
      <c r="D3" s="19" t="s">
        <v>437</v>
      </c>
      <c r="E3" s="19" t="s">
        <v>438</v>
      </c>
      <c r="F3" s="19" t="s">
        <v>439</v>
      </c>
      <c r="G3" s="19" t="s">
        <v>440</v>
      </c>
      <c r="H3" s="19" t="s">
        <v>441</v>
      </c>
      <c r="I3" s="19" t="s">
        <v>442</v>
      </c>
      <c r="J3" s="19" t="s">
        <v>443</v>
      </c>
      <c r="K3" s="19" t="s">
        <v>444</v>
      </c>
      <c r="L3" s="19" t="s">
        <v>445</v>
      </c>
      <c r="M3" s="19" t="s">
        <v>446</v>
      </c>
      <c r="N3" s="19" t="s">
        <v>447</v>
      </c>
    </row>
    <row r="4" spans="1:14" x14ac:dyDescent="0.3">
      <c r="A4" s="20" t="s">
        <v>448</v>
      </c>
    </row>
    <row r="5" spans="1:14" x14ac:dyDescent="0.3">
      <c r="A5" s="21" t="s">
        <v>449</v>
      </c>
      <c r="B5" s="8">
        <v>37283.78</v>
      </c>
      <c r="C5" s="22"/>
      <c r="D5" s="8">
        <v>21907.14</v>
      </c>
      <c r="E5" s="22">
        <v>25550.29</v>
      </c>
      <c r="F5" s="8">
        <v>15201.3</v>
      </c>
      <c r="G5" s="22">
        <v>10808.62</v>
      </c>
      <c r="H5" s="8">
        <v>11070.98</v>
      </c>
      <c r="I5" s="22">
        <v>11053.03</v>
      </c>
      <c r="J5" s="8">
        <v>16545.27</v>
      </c>
      <c r="K5" s="22">
        <v>25309.94</v>
      </c>
      <c r="L5" s="8">
        <v>23490.66</v>
      </c>
      <c r="M5" s="22">
        <v>12748.77</v>
      </c>
      <c r="N5" s="5">
        <v>210969.78</v>
      </c>
    </row>
    <row r="6" spans="1:14" x14ac:dyDescent="0.3">
      <c r="A6" s="21" t="s">
        <v>450</v>
      </c>
      <c r="B6" s="8"/>
      <c r="C6" s="22"/>
      <c r="D6" s="8"/>
      <c r="E6" s="22"/>
      <c r="F6" s="8"/>
      <c r="G6" s="22"/>
      <c r="H6" s="8"/>
      <c r="I6" s="22"/>
      <c r="J6" s="8"/>
      <c r="K6" s="22"/>
      <c r="L6" s="8">
        <v>5138.2</v>
      </c>
      <c r="M6" s="22"/>
      <c r="N6" s="5">
        <v>5138.2</v>
      </c>
    </row>
    <row r="7" spans="1:14" x14ac:dyDescent="0.3">
      <c r="A7" s="21" t="s">
        <v>451</v>
      </c>
      <c r="B7" s="8"/>
      <c r="C7" s="22"/>
      <c r="D7" s="8"/>
      <c r="E7" s="22">
        <v>35000</v>
      </c>
      <c r="F7" s="8">
        <v>20000</v>
      </c>
      <c r="G7" s="22"/>
      <c r="H7" s="8">
        <v>40000</v>
      </c>
      <c r="I7" s="22"/>
      <c r="J7" s="8">
        <v>10000</v>
      </c>
      <c r="K7" s="22">
        <v>10000</v>
      </c>
      <c r="L7" s="8"/>
      <c r="M7" s="22"/>
      <c r="N7" s="5">
        <v>115000</v>
      </c>
    </row>
    <row r="8" spans="1:14" x14ac:dyDescent="0.3">
      <c r="A8" s="21" t="s">
        <v>452</v>
      </c>
      <c r="B8" s="8">
        <v>1962</v>
      </c>
      <c r="C8" s="22">
        <v>1962</v>
      </c>
      <c r="D8" s="8">
        <v>1962</v>
      </c>
      <c r="E8" s="22">
        <v>1962</v>
      </c>
      <c r="F8" s="8"/>
      <c r="G8" s="22"/>
      <c r="H8" s="8"/>
      <c r="I8" s="22"/>
      <c r="J8" s="8"/>
      <c r="K8" s="22"/>
      <c r="L8" s="8"/>
      <c r="M8" s="22"/>
      <c r="N8" s="5">
        <v>7848</v>
      </c>
    </row>
    <row r="9" spans="1:14" x14ac:dyDescent="0.3">
      <c r="A9" s="21" t="s">
        <v>453</v>
      </c>
      <c r="B9" s="8">
        <v>24360</v>
      </c>
      <c r="C9" s="22"/>
      <c r="D9" s="8">
        <v>360</v>
      </c>
      <c r="E9" s="22"/>
      <c r="F9" s="8">
        <v>3924</v>
      </c>
      <c r="G9" s="22"/>
      <c r="H9" s="8">
        <v>1962</v>
      </c>
      <c r="I9" s="22">
        <v>1962</v>
      </c>
      <c r="J9" s="8">
        <v>1962</v>
      </c>
      <c r="K9" s="22">
        <v>11962</v>
      </c>
      <c r="L9" s="8"/>
      <c r="M9" s="22">
        <v>1962</v>
      </c>
      <c r="N9" s="5">
        <v>48454</v>
      </c>
    </row>
    <row r="10" spans="1:14" x14ac:dyDescent="0.3">
      <c r="A10" s="21" t="s">
        <v>454</v>
      </c>
      <c r="B10" s="8"/>
      <c r="C10" s="22">
        <v>56.3</v>
      </c>
      <c r="D10" s="8">
        <v>55.58</v>
      </c>
      <c r="E10" s="22">
        <v>51.27</v>
      </c>
      <c r="F10" s="8">
        <v>50.37</v>
      </c>
      <c r="G10" s="22"/>
      <c r="H10" s="8"/>
      <c r="I10" s="22">
        <v>822.5</v>
      </c>
      <c r="J10" s="8"/>
      <c r="K10" s="22"/>
      <c r="L10" s="8"/>
      <c r="M10" s="22"/>
      <c r="N10" s="5">
        <v>1036.02</v>
      </c>
    </row>
    <row r="11" spans="1:14" x14ac:dyDescent="0.3">
      <c r="A11" s="23" t="s">
        <v>455</v>
      </c>
      <c r="B11" s="5">
        <v>63605.78</v>
      </c>
      <c r="C11" s="5">
        <v>2018.3</v>
      </c>
      <c r="D11" s="5">
        <v>24284.720000000001</v>
      </c>
      <c r="E11" s="5">
        <v>62563.56</v>
      </c>
      <c r="F11" s="5">
        <v>39175.670000000013</v>
      </c>
      <c r="G11" s="5">
        <v>10808.62</v>
      </c>
      <c r="H11" s="5">
        <v>53032.98</v>
      </c>
      <c r="I11" s="5">
        <v>13837.53</v>
      </c>
      <c r="J11" s="5">
        <v>28507.27</v>
      </c>
      <c r="K11" s="5">
        <v>47271.94</v>
      </c>
      <c r="L11" s="5">
        <v>28628.86</v>
      </c>
      <c r="M11" s="5">
        <v>14710.77</v>
      </c>
      <c r="N11" s="5">
        <v>388446.00000000012</v>
      </c>
    </row>
    <row r="13" spans="1:14" x14ac:dyDescent="0.3">
      <c r="A13" s="20" t="s">
        <v>456</v>
      </c>
    </row>
    <row r="14" spans="1:14" x14ac:dyDescent="0.3">
      <c r="A14" s="21" t="s">
        <v>457</v>
      </c>
      <c r="B14" s="8">
        <v>930</v>
      </c>
      <c r="C14" s="22">
        <v>930</v>
      </c>
      <c r="D14" s="8">
        <v>930</v>
      </c>
      <c r="E14" s="22">
        <v>930</v>
      </c>
      <c r="F14" s="8">
        <v>930</v>
      </c>
      <c r="G14" s="22">
        <v>930</v>
      </c>
      <c r="H14" s="8">
        <v>930</v>
      </c>
      <c r="I14" s="22">
        <v>930</v>
      </c>
      <c r="J14" s="8">
        <v>930</v>
      </c>
      <c r="K14" s="22">
        <v>930</v>
      </c>
      <c r="L14" s="8">
        <v>930</v>
      </c>
      <c r="M14" s="22">
        <v>930</v>
      </c>
      <c r="N14" s="5">
        <v>11160</v>
      </c>
    </row>
    <row r="15" spans="1:14" x14ac:dyDescent="0.3">
      <c r="A15" s="21" t="s">
        <v>458</v>
      </c>
      <c r="B15" s="8">
        <v>3523</v>
      </c>
      <c r="C15" s="22">
        <v>3523</v>
      </c>
      <c r="D15" s="8">
        <v>3523</v>
      </c>
      <c r="E15" s="22">
        <v>3523</v>
      </c>
      <c r="F15" s="8">
        <v>3523</v>
      </c>
      <c r="G15" s="22">
        <v>3523</v>
      </c>
      <c r="H15" s="8">
        <v>3523</v>
      </c>
      <c r="I15" s="22">
        <v>3523</v>
      </c>
      <c r="J15" s="8">
        <v>3523</v>
      </c>
      <c r="K15" s="22">
        <v>3523</v>
      </c>
      <c r="L15" s="8">
        <v>3523</v>
      </c>
      <c r="M15" s="22">
        <v>3523</v>
      </c>
      <c r="N15" s="5">
        <v>42276</v>
      </c>
    </row>
    <row r="16" spans="1:14" x14ac:dyDescent="0.3">
      <c r="A16" s="21" t="s">
        <v>459</v>
      </c>
      <c r="B16" s="8"/>
      <c r="C16" s="22">
        <v>3000</v>
      </c>
      <c r="D16" s="8"/>
      <c r="E16" s="22">
        <v>5000</v>
      </c>
      <c r="F16" s="8">
        <v>4000</v>
      </c>
      <c r="G16" s="22">
        <v>4000</v>
      </c>
      <c r="H16" s="8">
        <v>4000</v>
      </c>
      <c r="I16" s="22">
        <v>4500</v>
      </c>
      <c r="J16" s="8">
        <v>5000</v>
      </c>
      <c r="K16" s="22">
        <v>5000</v>
      </c>
      <c r="L16" s="8">
        <v>4500</v>
      </c>
      <c r="M16" s="22">
        <v>4000</v>
      </c>
      <c r="N16" s="5">
        <v>43000</v>
      </c>
    </row>
    <row r="17" spans="1:14" x14ac:dyDescent="0.3">
      <c r="A17" s="21" t="s">
        <v>460</v>
      </c>
      <c r="B17" s="8">
        <v>5954</v>
      </c>
      <c r="C17" s="22"/>
      <c r="D17" s="8"/>
      <c r="E17" s="22">
        <v>2068</v>
      </c>
      <c r="F17" s="8">
        <v>300</v>
      </c>
      <c r="G17" s="22"/>
      <c r="H17" s="8"/>
      <c r="I17" s="22"/>
      <c r="J17" s="8"/>
      <c r="K17" s="22"/>
      <c r="L17" s="8"/>
      <c r="M17" s="22"/>
      <c r="N17" s="5">
        <v>8322</v>
      </c>
    </row>
    <row r="18" spans="1:14" x14ac:dyDescent="0.3">
      <c r="A18" s="21" t="s">
        <v>461</v>
      </c>
      <c r="B18" s="8">
        <v>4455</v>
      </c>
      <c r="C18" s="22"/>
      <c r="D18" s="8"/>
      <c r="E18" s="22"/>
      <c r="F18" s="8"/>
      <c r="G18" s="22"/>
      <c r="H18" s="8"/>
      <c r="I18" s="22"/>
      <c r="J18" s="8"/>
      <c r="K18" s="22"/>
      <c r="L18" s="8"/>
      <c r="M18" s="22"/>
      <c r="N18" s="5">
        <v>4455</v>
      </c>
    </row>
    <row r="19" spans="1:14" x14ac:dyDescent="0.3">
      <c r="A19" s="21" t="s">
        <v>462</v>
      </c>
      <c r="B19" s="8">
        <v>159</v>
      </c>
      <c r="C19" s="22"/>
      <c r="D19" s="8"/>
      <c r="E19" s="22"/>
      <c r="F19" s="8"/>
      <c r="G19" s="22"/>
      <c r="H19" s="8"/>
      <c r="I19" s="22"/>
      <c r="J19" s="8"/>
      <c r="K19" s="22"/>
      <c r="L19" s="8"/>
      <c r="M19" s="22"/>
      <c r="N19" s="5">
        <v>159</v>
      </c>
    </row>
    <row r="20" spans="1:14" x14ac:dyDescent="0.3">
      <c r="A20" s="21" t="s">
        <v>463</v>
      </c>
      <c r="B20" s="8">
        <v>4482</v>
      </c>
      <c r="C20" s="22"/>
      <c r="D20" s="8"/>
      <c r="E20" s="22"/>
      <c r="F20" s="8"/>
      <c r="G20" s="22"/>
      <c r="H20" s="8">
        <v>4482</v>
      </c>
      <c r="I20" s="22"/>
      <c r="J20" s="8"/>
      <c r="K20" s="22"/>
      <c r="L20" s="8"/>
      <c r="M20" s="22"/>
      <c r="N20" s="5">
        <v>8964</v>
      </c>
    </row>
    <row r="21" spans="1:14" x14ac:dyDescent="0.3">
      <c r="A21" s="21" t="s">
        <v>464</v>
      </c>
      <c r="B21" s="8"/>
      <c r="C21" s="22"/>
      <c r="D21" s="8"/>
      <c r="E21" s="22"/>
      <c r="F21" s="8"/>
      <c r="G21" s="22"/>
      <c r="H21" s="8">
        <v>10000</v>
      </c>
      <c r="I21" s="22"/>
      <c r="J21" s="8"/>
      <c r="K21" s="22"/>
      <c r="L21" s="8"/>
      <c r="M21" s="22"/>
      <c r="N21" s="5">
        <v>10000</v>
      </c>
    </row>
    <row r="22" spans="1:14" x14ac:dyDescent="0.3">
      <c r="A22" s="21" t="s">
        <v>465</v>
      </c>
      <c r="B22" s="8"/>
      <c r="C22" s="22"/>
      <c r="D22" s="8">
        <v>730</v>
      </c>
      <c r="E22" s="22">
        <v>4177</v>
      </c>
      <c r="F22" s="8">
        <v>8458</v>
      </c>
      <c r="G22" s="22">
        <v>328</v>
      </c>
      <c r="H22" s="8">
        <v>595</v>
      </c>
      <c r="I22" s="22"/>
      <c r="J22" s="8">
        <v>590</v>
      </c>
      <c r="K22" s="22">
        <v>220</v>
      </c>
      <c r="L22" s="8">
        <v>100</v>
      </c>
      <c r="M22" s="22">
        <v>704</v>
      </c>
      <c r="N22" s="5">
        <v>15902</v>
      </c>
    </row>
    <row r="23" spans="1:14" x14ac:dyDescent="0.3">
      <c r="A23" s="21" t="s">
        <v>466</v>
      </c>
      <c r="B23" s="8"/>
      <c r="C23" s="22"/>
      <c r="D23" s="8"/>
      <c r="E23" s="22">
        <v>823.8</v>
      </c>
      <c r="F23" s="8">
        <v>1665.74</v>
      </c>
      <c r="G23" s="22"/>
      <c r="H23" s="8"/>
      <c r="I23" s="22"/>
      <c r="J23" s="8"/>
      <c r="K23" s="22"/>
      <c r="L23" s="8"/>
      <c r="M23" s="22"/>
      <c r="N23" s="5">
        <v>2489.54</v>
      </c>
    </row>
    <row r="24" spans="1:14" x14ac:dyDescent="0.3">
      <c r="A24" s="21" t="s">
        <v>467</v>
      </c>
      <c r="B24" s="8"/>
      <c r="C24" s="22"/>
      <c r="D24" s="8"/>
      <c r="E24" s="22"/>
      <c r="F24" s="8"/>
      <c r="G24" s="22"/>
      <c r="H24" s="8"/>
      <c r="I24" s="22"/>
      <c r="J24" s="8"/>
      <c r="K24" s="22"/>
      <c r="L24" s="8">
        <v>675</v>
      </c>
      <c r="M24" s="22"/>
      <c r="N24" s="5">
        <v>675</v>
      </c>
    </row>
    <row r="25" spans="1:14" x14ac:dyDescent="0.3">
      <c r="A25" s="21" t="s">
        <v>468</v>
      </c>
      <c r="B25" s="8"/>
      <c r="C25" s="22"/>
      <c r="D25" s="8"/>
      <c r="E25" s="22">
        <v>1693.6</v>
      </c>
      <c r="F25" s="8">
        <v>2410.67</v>
      </c>
      <c r="G25" s="22"/>
      <c r="H25" s="8"/>
      <c r="I25" s="22"/>
      <c r="J25" s="8"/>
      <c r="K25" s="22"/>
      <c r="L25" s="8"/>
      <c r="M25" s="22"/>
      <c r="N25" s="5">
        <v>4104.2700000000004</v>
      </c>
    </row>
    <row r="26" spans="1:14" x14ac:dyDescent="0.3">
      <c r="A26" s="21" t="s">
        <v>469</v>
      </c>
      <c r="B26" s="8"/>
      <c r="C26" s="22"/>
      <c r="D26" s="8"/>
      <c r="E26" s="22"/>
      <c r="F26" s="8">
        <v>200</v>
      </c>
      <c r="G26" s="22"/>
      <c r="H26" s="8"/>
      <c r="I26" s="22"/>
      <c r="J26" s="8"/>
      <c r="K26" s="22"/>
      <c r="L26" s="8"/>
      <c r="M26" s="22"/>
      <c r="N26" s="5">
        <v>200</v>
      </c>
    </row>
    <row r="27" spans="1:14" x14ac:dyDescent="0.3">
      <c r="A27" s="21" t="s">
        <v>470</v>
      </c>
      <c r="B27" s="8">
        <v>10.6</v>
      </c>
      <c r="C27" s="22">
        <v>10.6</v>
      </c>
      <c r="D27" s="8">
        <v>10.6</v>
      </c>
      <c r="E27" s="22">
        <v>10.6</v>
      </c>
      <c r="F27" s="8">
        <v>10.6</v>
      </c>
      <c r="G27" s="22">
        <v>10.6</v>
      </c>
      <c r="H27" s="8">
        <v>10.6</v>
      </c>
      <c r="I27" s="22">
        <v>10.6</v>
      </c>
      <c r="J27" s="8">
        <v>10.6</v>
      </c>
      <c r="K27" s="22">
        <v>10.6</v>
      </c>
      <c r="L27" s="8">
        <v>10.6</v>
      </c>
      <c r="M27" s="22">
        <v>10.6</v>
      </c>
      <c r="N27" s="5">
        <v>127.2</v>
      </c>
    </row>
    <row r="28" spans="1:14" x14ac:dyDescent="0.3">
      <c r="A28" s="21" t="s">
        <v>471</v>
      </c>
      <c r="B28" s="8"/>
      <c r="C28" s="22"/>
      <c r="D28" s="8"/>
      <c r="E28" s="22">
        <v>546</v>
      </c>
      <c r="F28" s="8"/>
      <c r="G28" s="22"/>
      <c r="H28" s="8"/>
      <c r="I28" s="22"/>
      <c r="J28" s="8"/>
      <c r="K28" s="22"/>
      <c r="L28" s="8"/>
      <c r="M28" s="22"/>
      <c r="N28" s="5">
        <v>546</v>
      </c>
    </row>
    <row r="29" spans="1:14" x14ac:dyDescent="0.3">
      <c r="A29" s="23" t="s">
        <v>472</v>
      </c>
      <c r="B29" s="24">
        <v>19513.599999999999</v>
      </c>
      <c r="C29" s="24">
        <v>7463.6</v>
      </c>
      <c r="D29" s="24">
        <v>5193.6000000000004</v>
      </c>
      <c r="E29" s="24">
        <v>18772</v>
      </c>
      <c r="F29" s="24">
        <v>21498.01</v>
      </c>
      <c r="G29" s="24">
        <v>8791.6</v>
      </c>
      <c r="H29" s="24">
        <v>23540.6</v>
      </c>
      <c r="I29" s="24">
        <v>8963.6</v>
      </c>
      <c r="J29" s="24">
        <v>10053.6</v>
      </c>
      <c r="K29" s="24">
        <v>9683.6</v>
      </c>
      <c r="L29" s="24">
        <v>9738.6</v>
      </c>
      <c r="M29" s="24">
        <v>9167.6</v>
      </c>
      <c r="N29" s="24">
        <v>152380.01</v>
      </c>
    </row>
    <row r="31" spans="1:14" x14ac:dyDescent="0.3">
      <c r="A31" s="21" t="s">
        <v>473</v>
      </c>
      <c r="B31" s="8"/>
      <c r="C31" s="22"/>
      <c r="D31" s="8"/>
      <c r="E31" s="22"/>
      <c r="F31" s="8">
        <v>6000</v>
      </c>
      <c r="G31" s="22"/>
      <c r="H31" s="8"/>
      <c r="I31" s="22"/>
      <c r="J31" s="8"/>
      <c r="K31" s="22"/>
      <c r="L31" s="8"/>
      <c r="M31" s="22"/>
      <c r="N31" s="5">
        <v>6000</v>
      </c>
    </row>
    <row r="32" spans="1:14" x14ac:dyDescent="0.3">
      <c r="A32" s="21" t="s">
        <v>474</v>
      </c>
      <c r="B32" s="8">
        <v>51000</v>
      </c>
      <c r="C32" s="22">
        <v>1334</v>
      </c>
      <c r="D32" s="8">
        <v>24000</v>
      </c>
      <c r="E32" s="22">
        <v>43980</v>
      </c>
      <c r="F32" s="8">
        <v>29000</v>
      </c>
      <c r="G32" s="22">
        <v>7300</v>
      </c>
      <c r="H32" s="8">
        <v>34000</v>
      </c>
      <c r="I32" s="22">
        <v>10800</v>
      </c>
      <c r="J32" s="8">
        <v>18500</v>
      </c>
      <c r="K32" s="22">
        <v>37000</v>
      </c>
      <c r="L32" s="8">
        <v>17000</v>
      </c>
      <c r="M32" s="22">
        <v>9000</v>
      </c>
      <c r="N32" s="5">
        <v>282914</v>
      </c>
    </row>
    <row r="33" spans="1:14" x14ac:dyDescent="0.3">
      <c r="A33" s="21" t="s">
        <v>475</v>
      </c>
      <c r="B33" s="8">
        <v>3000</v>
      </c>
      <c r="C33" s="22">
        <v>6500</v>
      </c>
      <c r="D33" s="8">
        <v>2000</v>
      </c>
      <c r="E33" s="22"/>
      <c r="F33" s="8">
        <v>17300</v>
      </c>
      <c r="G33" s="22">
        <v>5000</v>
      </c>
      <c r="H33" s="8">
        <v>6000</v>
      </c>
      <c r="I33" s="22">
        <v>4500</v>
      </c>
      <c r="J33" s="8"/>
      <c r="K33" s="22"/>
      <c r="L33" s="8"/>
      <c r="M33" s="22">
        <v>2300</v>
      </c>
      <c r="N33" s="5">
        <v>46600</v>
      </c>
    </row>
    <row r="35" spans="1:14" x14ac:dyDescent="0.3">
      <c r="A35" s="23" t="s">
        <v>476</v>
      </c>
      <c r="B35" s="5">
        <v>44092.18</v>
      </c>
      <c r="C35" s="25">
        <v>-5445.3</v>
      </c>
      <c r="D35" s="5">
        <v>19091.12</v>
      </c>
      <c r="E35" s="5">
        <v>43791.56</v>
      </c>
      <c r="F35" s="5">
        <v>17677.66</v>
      </c>
      <c r="G35" s="5">
        <v>2017.02</v>
      </c>
      <c r="H35" s="5">
        <v>29492.38</v>
      </c>
      <c r="I35" s="5">
        <v>4873.93</v>
      </c>
      <c r="J35" s="5">
        <v>18453.669999999998</v>
      </c>
      <c r="K35" s="5">
        <v>37588.339999999997</v>
      </c>
      <c r="L35" s="5">
        <v>18890.259999999998</v>
      </c>
      <c r="M35" s="5">
        <v>5543.17</v>
      </c>
      <c r="N35" s="5">
        <v>236065.99</v>
      </c>
    </row>
    <row r="36" spans="1:14" x14ac:dyDescent="0.3">
      <c r="A36" s="23" t="s">
        <v>477</v>
      </c>
      <c r="B36" s="26">
        <v>-1616.07</v>
      </c>
      <c r="C36" s="26">
        <v>-1895.37</v>
      </c>
      <c r="D36" s="26">
        <v>-4804.25</v>
      </c>
      <c r="E36" s="26">
        <v>-4992.6899999999996</v>
      </c>
      <c r="F36" s="26">
        <v>-5015.03</v>
      </c>
      <c r="G36" s="26">
        <v>-5298.01</v>
      </c>
      <c r="H36" s="26">
        <v>-3805.63</v>
      </c>
      <c r="I36" s="26">
        <v>-5231.7</v>
      </c>
      <c r="J36" s="26">
        <v>-5278.03</v>
      </c>
      <c r="K36" s="26">
        <v>-4689.6899999999996</v>
      </c>
      <c r="L36" s="26">
        <v>-2799.43</v>
      </c>
      <c r="M36" s="26">
        <v>-3956.26</v>
      </c>
      <c r="N36" s="26">
        <v>-3956.26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18" workbookViewId="0">
      <selection sqref="A1:E1"/>
    </sheetView>
  </sheetViews>
  <sheetFormatPr defaultRowHeight="14.4" x14ac:dyDescent="0.3"/>
  <cols>
    <col min="1" max="1" width="8" customWidth="1"/>
    <col min="2" max="2" width="40" customWidth="1"/>
    <col min="3" max="3" width="18" customWidth="1"/>
    <col min="4" max="4" width="16" customWidth="1"/>
    <col min="5" max="5" width="50" customWidth="1"/>
  </cols>
  <sheetData>
    <row r="1" spans="1:5" ht="28.05" customHeight="1" x14ac:dyDescent="0.3">
      <c r="A1" s="64" t="s">
        <v>478</v>
      </c>
      <c r="B1" s="59"/>
      <c r="C1" s="59"/>
      <c r="D1" s="59"/>
      <c r="E1" s="60"/>
    </row>
    <row r="2" spans="1:5" x14ac:dyDescent="0.3">
      <c r="A2" s="27" t="s">
        <v>479</v>
      </c>
      <c r="B2" s="27" t="s">
        <v>9</v>
      </c>
      <c r="C2" s="27" t="s">
        <v>480</v>
      </c>
      <c r="D2" s="27" t="s">
        <v>481</v>
      </c>
      <c r="E2" s="27" t="s">
        <v>482</v>
      </c>
    </row>
    <row r="3" spans="1:5" x14ac:dyDescent="0.3">
      <c r="A3" s="65" t="s">
        <v>483</v>
      </c>
      <c r="B3" s="59"/>
      <c r="C3" s="59"/>
      <c r="D3" s="59"/>
      <c r="E3" s="60"/>
    </row>
    <row r="4" spans="1:5" ht="13.95" customHeight="1" x14ac:dyDescent="0.3">
      <c r="A4" s="28" t="s">
        <v>484</v>
      </c>
      <c r="B4" s="29" t="s">
        <v>485</v>
      </c>
      <c r="C4" s="29" t="s">
        <v>486</v>
      </c>
      <c r="D4" s="29" t="s">
        <v>487</v>
      </c>
      <c r="E4" s="30" t="s">
        <v>488</v>
      </c>
    </row>
    <row r="5" spans="1:5" ht="13.95" customHeight="1" x14ac:dyDescent="0.3">
      <c r="A5" s="28" t="s">
        <v>229</v>
      </c>
      <c r="B5" s="29" t="s">
        <v>230</v>
      </c>
      <c r="C5" s="29" t="s">
        <v>486</v>
      </c>
      <c r="D5" s="29" t="s">
        <v>487</v>
      </c>
      <c r="E5" s="30" t="s">
        <v>489</v>
      </c>
    </row>
    <row r="7" spans="1:5" x14ac:dyDescent="0.3">
      <c r="A7" s="65" t="s">
        <v>448</v>
      </c>
      <c r="B7" s="59"/>
      <c r="C7" s="59"/>
      <c r="D7" s="59"/>
      <c r="E7" s="60"/>
    </row>
    <row r="8" spans="1:5" ht="13.95" customHeight="1" x14ac:dyDescent="0.3">
      <c r="A8" s="31" t="s">
        <v>27</v>
      </c>
      <c r="B8" s="32" t="s">
        <v>490</v>
      </c>
      <c r="C8" s="32" t="s">
        <v>491</v>
      </c>
      <c r="D8" s="32" t="s">
        <v>492</v>
      </c>
      <c r="E8" s="33" t="s">
        <v>493</v>
      </c>
    </row>
    <row r="9" spans="1:5" ht="13.95" customHeight="1" x14ac:dyDescent="0.3">
      <c r="A9" s="31" t="s">
        <v>389</v>
      </c>
      <c r="B9" s="32" t="s">
        <v>390</v>
      </c>
      <c r="C9" s="32" t="s">
        <v>491</v>
      </c>
      <c r="D9" s="32" t="s">
        <v>492</v>
      </c>
      <c r="E9" s="33" t="s">
        <v>494</v>
      </c>
    </row>
    <row r="10" spans="1:5" ht="13.95" customHeight="1" x14ac:dyDescent="0.3">
      <c r="A10" s="31" t="s">
        <v>177</v>
      </c>
      <c r="B10" s="32" t="s">
        <v>178</v>
      </c>
      <c r="C10" s="32" t="s">
        <v>491</v>
      </c>
      <c r="D10" s="32" t="s">
        <v>492</v>
      </c>
      <c r="E10" s="33" t="s">
        <v>495</v>
      </c>
    </row>
    <row r="11" spans="1:5" ht="13.95" customHeight="1" x14ac:dyDescent="0.3">
      <c r="A11" s="31" t="s">
        <v>56</v>
      </c>
      <c r="B11" s="32" t="s">
        <v>57</v>
      </c>
      <c r="C11" s="32" t="s">
        <v>491</v>
      </c>
      <c r="D11" s="32" t="s">
        <v>492</v>
      </c>
      <c r="E11" s="33" t="s">
        <v>496</v>
      </c>
    </row>
    <row r="12" spans="1:5" ht="13.95" customHeight="1" x14ac:dyDescent="0.3">
      <c r="A12" s="31" t="s">
        <v>60</v>
      </c>
      <c r="B12" s="32" t="s">
        <v>61</v>
      </c>
      <c r="C12" s="32" t="s">
        <v>491</v>
      </c>
      <c r="D12" s="32" t="s">
        <v>492</v>
      </c>
      <c r="E12" s="33" t="s">
        <v>497</v>
      </c>
    </row>
    <row r="13" spans="1:5" ht="13.95" customHeight="1" x14ac:dyDescent="0.3">
      <c r="A13" s="31" t="s">
        <v>110</v>
      </c>
      <c r="B13" s="32" t="s">
        <v>111</v>
      </c>
      <c r="C13" s="32" t="s">
        <v>491</v>
      </c>
      <c r="D13" s="32" t="s">
        <v>492</v>
      </c>
      <c r="E13" s="33" t="s">
        <v>498</v>
      </c>
    </row>
    <row r="15" spans="1:5" x14ac:dyDescent="0.3">
      <c r="A15" s="65" t="s">
        <v>456</v>
      </c>
      <c r="B15" s="59"/>
      <c r="C15" s="59"/>
      <c r="D15" s="59"/>
      <c r="E15" s="60"/>
    </row>
    <row r="16" spans="1:5" ht="13.95" customHeight="1" x14ac:dyDescent="0.3">
      <c r="A16" s="34" t="s">
        <v>22</v>
      </c>
      <c r="B16" s="35" t="s">
        <v>19</v>
      </c>
      <c r="C16" s="35" t="s">
        <v>499</v>
      </c>
      <c r="D16" s="35" t="s">
        <v>487</v>
      </c>
      <c r="E16" s="36" t="s">
        <v>500</v>
      </c>
    </row>
    <row r="17" spans="1:5" ht="13.95" customHeight="1" x14ac:dyDescent="0.3">
      <c r="A17" s="34" t="s">
        <v>75</v>
      </c>
      <c r="B17" s="35" t="s">
        <v>72</v>
      </c>
      <c r="C17" s="35" t="s">
        <v>499</v>
      </c>
      <c r="D17" s="35" t="s">
        <v>487</v>
      </c>
      <c r="E17" s="36" t="s">
        <v>501</v>
      </c>
    </row>
    <row r="18" spans="1:5" ht="13.95" customHeight="1" x14ac:dyDescent="0.3">
      <c r="A18" s="34" t="s">
        <v>104</v>
      </c>
      <c r="B18" s="35" t="s">
        <v>105</v>
      </c>
      <c r="C18" s="35" t="s">
        <v>499</v>
      </c>
      <c r="D18" s="35" t="s">
        <v>487</v>
      </c>
      <c r="E18" s="36" t="s">
        <v>502</v>
      </c>
    </row>
    <row r="19" spans="1:5" ht="13.95" customHeight="1" x14ac:dyDescent="0.3">
      <c r="A19" s="34" t="s">
        <v>47</v>
      </c>
      <c r="B19" s="35" t="s">
        <v>48</v>
      </c>
      <c r="C19" s="35" t="s">
        <v>499</v>
      </c>
      <c r="D19" s="35" t="s">
        <v>487</v>
      </c>
      <c r="E19" s="36" t="s">
        <v>503</v>
      </c>
    </row>
    <row r="20" spans="1:5" ht="13.95" customHeight="1" x14ac:dyDescent="0.3">
      <c r="A20" s="34" t="s">
        <v>38</v>
      </c>
      <c r="B20" s="35" t="s">
        <v>35</v>
      </c>
      <c r="C20" s="35" t="s">
        <v>499</v>
      </c>
      <c r="D20" s="35" t="s">
        <v>487</v>
      </c>
      <c r="E20" s="36" t="s">
        <v>504</v>
      </c>
    </row>
    <row r="21" spans="1:5" ht="13.95" customHeight="1" x14ac:dyDescent="0.3">
      <c r="A21" s="34" t="s">
        <v>43</v>
      </c>
      <c r="B21" s="35" t="s">
        <v>40</v>
      </c>
      <c r="C21" s="35" t="s">
        <v>499</v>
      </c>
      <c r="D21" s="35" t="s">
        <v>487</v>
      </c>
      <c r="E21" s="36" t="s">
        <v>505</v>
      </c>
    </row>
    <row r="22" spans="1:5" ht="13.95" customHeight="1" x14ac:dyDescent="0.3">
      <c r="A22" s="34" t="s">
        <v>94</v>
      </c>
      <c r="B22" s="35" t="s">
        <v>95</v>
      </c>
      <c r="C22" s="35" t="s">
        <v>499</v>
      </c>
      <c r="D22" s="35" t="s">
        <v>487</v>
      </c>
      <c r="E22" s="36" t="s">
        <v>506</v>
      </c>
    </row>
    <row r="23" spans="1:5" ht="13.95" customHeight="1" x14ac:dyDescent="0.3">
      <c r="A23" s="34" t="s">
        <v>317</v>
      </c>
      <c r="B23" s="35" t="s">
        <v>318</v>
      </c>
      <c r="C23" s="35" t="s">
        <v>499</v>
      </c>
      <c r="D23" s="35" t="s">
        <v>487</v>
      </c>
      <c r="E23" s="36" t="s">
        <v>507</v>
      </c>
    </row>
    <row r="24" spans="1:5" ht="13.95" customHeight="1" x14ac:dyDescent="0.3">
      <c r="A24" s="34" t="s">
        <v>144</v>
      </c>
      <c r="B24" s="35" t="s">
        <v>145</v>
      </c>
      <c r="C24" s="35" t="s">
        <v>499</v>
      </c>
      <c r="D24" s="35" t="s">
        <v>487</v>
      </c>
      <c r="E24" s="36" t="s">
        <v>508</v>
      </c>
    </row>
    <row r="25" spans="1:5" ht="13.95" customHeight="1" x14ac:dyDescent="0.3">
      <c r="A25" s="34" t="s">
        <v>172</v>
      </c>
      <c r="B25" s="35" t="s">
        <v>173</v>
      </c>
      <c r="C25" s="35" t="s">
        <v>499</v>
      </c>
      <c r="D25" s="35" t="s">
        <v>487</v>
      </c>
      <c r="E25" s="36" t="s">
        <v>509</v>
      </c>
    </row>
    <row r="26" spans="1:5" ht="13.95" customHeight="1" x14ac:dyDescent="0.3">
      <c r="A26" s="34" t="s">
        <v>402</v>
      </c>
      <c r="B26" s="35" t="s">
        <v>399</v>
      </c>
      <c r="C26" s="35" t="s">
        <v>499</v>
      </c>
      <c r="D26" s="35" t="s">
        <v>487</v>
      </c>
      <c r="E26" s="36" t="s">
        <v>510</v>
      </c>
    </row>
    <row r="27" spans="1:5" ht="13.95" customHeight="1" x14ac:dyDescent="0.3">
      <c r="A27" s="34" t="s">
        <v>204</v>
      </c>
      <c r="B27" s="35" t="s">
        <v>205</v>
      </c>
      <c r="C27" s="35" t="s">
        <v>499</v>
      </c>
      <c r="D27" s="35" t="s">
        <v>487</v>
      </c>
      <c r="E27" s="36" t="s">
        <v>511</v>
      </c>
    </row>
    <row r="28" spans="1:5" ht="13.95" customHeight="1" x14ac:dyDescent="0.3">
      <c r="A28" s="34" t="s">
        <v>254</v>
      </c>
      <c r="B28" s="35" t="s">
        <v>251</v>
      </c>
      <c r="C28" s="35" t="s">
        <v>499</v>
      </c>
      <c r="D28" s="35" t="s">
        <v>487</v>
      </c>
      <c r="E28" s="36" t="s">
        <v>512</v>
      </c>
    </row>
    <row r="29" spans="1:5" ht="13.95" customHeight="1" x14ac:dyDescent="0.3">
      <c r="A29" s="34" t="s">
        <v>70</v>
      </c>
      <c r="B29" s="35" t="s">
        <v>71</v>
      </c>
      <c r="C29" s="35" t="s">
        <v>499</v>
      </c>
      <c r="D29" s="35" t="s">
        <v>487</v>
      </c>
      <c r="E29" s="36" t="s">
        <v>513</v>
      </c>
    </row>
    <row r="30" spans="1:5" ht="13.95" customHeight="1" x14ac:dyDescent="0.3">
      <c r="A30" s="34" t="s">
        <v>165</v>
      </c>
      <c r="B30" s="35" t="s">
        <v>166</v>
      </c>
      <c r="C30" s="35" t="s">
        <v>499</v>
      </c>
      <c r="D30" s="35" t="s">
        <v>487</v>
      </c>
      <c r="E30" s="36" t="s">
        <v>514</v>
      </c>
    </row>
    <row r="32" spans="1:5" x14ac:dyDescent="0.3">
      <c r="A32" s="65" t="s">
        <v>515</v>
      </c>
      <c r="B32" s="59"/>
      <c r="C32" s="59"/>
      <c r="D32" s="59"/>
      <c r="E32" s="60"/>
    </row>
    <row r="33" spans="1:5" ht="13.95" customHeight="1" x14ac:dyDescent="0.3">
      <c r="A33" s="37" t="s">
        <v>84</v>
      </c>
      <c r="B33" s="38" t="s">
        <v>516</v>
      </c>
      <c r="C33" s="38" t="s">
        <v>517</v>
      </c>
      <c r="D33" s="38" t="s">
        <v>492</v>
      </c>
      <c r="E33" s="39" t="s">
        <v>518</v>
      </c>
    </row>
    <row r="34" spans="1:5" ht="13.95" customHeight="1" x14ac:dyDescent="0.3">
      <c r="A34" s="37" t="s">
        <v>32</v>
      </c>
      <c r="B34" s="38" t="s">
        <v>519</v>
      </c>
      <c r="C34" s="38" t="s">
        <v>517</v>
      </c>
      <c r="D34" s="38" t="s">
        <v>487</v>
      </c>
      <c r="E34" s="39" t="s">
        <v>520</v>
      </c>
    </row>
  </sheetData>
  <mergeCells count="5">
    <mergeCell ref="A15:E15"/>
    <mergeCell ref="A7:E7"/>
    <mergeCell ref="A1:E1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sqref="A1:F1"/>
    </sheetView>
  </sheetViews>
  <sheetFormatPr defaultRowHeight="14.4" x14ac:dyDescent="0.3"/>
  <cols>
    <col min="1" max="2" width="35" customWidth="1"/>
    <col min="3" max="4" width="14" customWidth="1"/>
    <col min="5" max="5" width="30" customWidth="1"/>
    <col min="6" max="6" width="45" customWidth="1"/>
  </cols>
  <sheetData>
    <row r="1" spans="1:6" ht="28.05" customHeight="1" x14ac:dyDescent="0.3">
      <c r="A1" s="64" t="s">
        <v>521</v>
      </c>
      <c r="B1" s="59"/>
      <c r="C1" s="59"/>
      <c r="D1" s="59"/>
      <c r="E1" s="59"/>
      <c r="F1" s="60"/>
    </row>
    <row r="2" spans="1:6" x14ac:dyDescent="0.3">
      <c r="A2" s="27" t="s">
        <v>522</v>
      </c>
      <c r="B2" s="27" t="s">
        <v>523</v>
      </c>
      <c r="C2" s="27" t="s">
        <v>3</v>
      </c>
      <c r="D2" s="27" t="s">
        <v>524</v>
      </c>
      <c r="E2" s="27" t="s">
        <v>525</v>
      </c>
      <c r="F2" s="27" t="s">
        <v>482</v>
      </c>
    </row>
    <row r="3" spans="1:6" ht="42" customHeight="1" x14ac:dyDescent="0.3">
      <c r="A3" s="40" t="s">
        <v>526</v>
      </c>
      <c r="B3" s="40" t="s">
        <v>527</v>
      </c>
      <c r="C3" s="41" t="s">
        <v>528</v>
      </c>
      <c r="D3" s="41" t="s">
        <v>529</v>
      </c>
      <c r="E3" s="40" t="s">
        <v>530</v>
      </c>
      <c r="F3" s="40" t="s">
        <v>531</v>
      </c>
    </row>
    <row r="4" spans="1:6" ht="42" customHeight="1" x14ac:dyDescent="0.3">
      <c r="A4" s="36" t="s">
        <v>532</v>
      </c>
      <c r="B4" s="36" t="s">
        <v>92</v>
      </c>
      <c r="C4" s="42" t="s">
        <v>533</v>
      </c>
      <c r="D4" s="42" t="s">
        <v>534</v>
      </c>
      <c r="E4" s="36" t="s">
        <v>535</v>
      </c>
      <c r="F4" s="36" t="s">
        <v>536</v>
      </c>
    </row>
    <row r="5" spans="1:6" ht="42" customHeight="1" x14ac:dyDescent="0.3">
      <c r="A5" s="40" t="s">
        <v>537</v>
      </c>
      <c r="B5" s="40" t="s">
        <v>92</v>
      </c>
      <c r="C5" s="41" t="s">
        <v>538</v>
      </c>
      <c r="D5" s="41" t="s">
        <v>534</v>
      </c>
      <c r="E5" s="40" t="s">
        <v>539</v>
      </c>
      <c r="F5" s="40" t="s">
        <v>540</v>
      </c>
    </row>
    <row r="6" spans="1:6" ht="42" customHeight="1" x14ac:dyDescent="0.3">
      <c r="A6" s="36" t="s">
        <v>541</v>
      </c>
      <c r="B6" s="36" t="s">
        <v>542</v>
      </c>
      <c r="C6" s="42" t="s">
        <v>543</v>
      </c>
      <c r="D6" s="42" t="s">
        <v>544</v>
      </c>
      <c r="E6" s="36" t="s">
        <v>545</v>
      </c>
      <c r="F6" s="36" t="s">
        <v>546</v>
      </c>
    </row>
    <row r="7" spans="1:6" ht="42" customHeight="1" x14ac:dyDescent="0.3">
      <c r="A7" s="40" t="s">
        <v>547</v>
      </c>
      <c r="B7" s="40" t="s">
        <v>548</v>
      </c>
      <c r="C7" s="41" t="s">
        <v>549</v>
      </c>
      <c r="D7" s="41" t="s">
        <v>550</v>
      </c>
      <c r="E7" s="40" t="s">
        <v>551</v>
      </c>
      <c r="F7" s="40" t="s">
        <v>552</v>
      </c>
    </row>
    <row r="8" spans="1:6" ht="42" customHeight="1" x14ac:dyDescent="0.3">
      <c r="A8" s="36" t="s">
        <v>553</v>
      </c>
      <c r="B8" s="36" t="s">
        <v>554</v>
      </c>
      <c r="C8" s="42" t="s">
        <v>555</v>
      </c>
      <c r="D8" s="42" t="s">
        <v>529</v>
      </c>
      <c r="E8" s="36" t="s">
        <v>556</v>
      </c>
      <c r="F8" s="36" t="s">
        <v>557</v>
      </c>
    </row>
    <row r="9" spans="1:6" ht="42" customHeight="1" x14ac:dyDescent="0.3">
      <c r="A9" s="40" t="s">
        <v>169</v>
      </c>
      <c r="B9" s="40" t="s">
        <v>558</v>
      </c>
      <c r="C9" s="41" t="s">
        <v>559</v>
      </c>
      <c r="D9" s="41" t="s">
        <v>560</v>
      </c>
      <c r="E9" s="40" t="s">
        <v>561</v>
      </c>
      <c r="F9" s="40" t="s">
        <v>562</v>
      </c>
    </row>
    <row r="10" spans="1:6" ht="42" customHeight="1" x14ac:dyDescent="0.3">
      <c r="A10" s="36" t="s">
        <v>270</v>
      </c>
      <c r="B10" s="36" t="s">
        <v>170</v>
      </c>
      <c r="C10" s="42" t="s">
        <v>563</v>
      </c>
      <c r="D10" s="42" t="s">
        <v>564</v>
      </c>
      <c r="E10" s="36" t="s">
        <v>565</v>
      </c>
      <c r="F10" s="36" t="s">
        <v>566</v>
      </c>
    </row>
    <row r="11" spans="1:6" ht="42" customHeight="1" x14ac:dyDescent="0.3">
      <c r="A11" s="40" t="s">
        <v>567</v>
      </c>
      <c r="B11" s="40" t="s">
        <v>568</v>
      </c>
      <c r="C11" s="41" t="s">
        <v>555</v>
      </c>
      <c r="D11" s="41" t="s">
        <v>569</v>
      </c>
      <c r="E11" s="40" t="s">
        <v>570</v>
      </c>
      <c r="F11" s="40" t="s">
        <v>571</v>
      </c>
    </row>
    <row r="12" spans="1:6" ht="42" customHeight="1" x14ac:dyDescent="0.3">
      <c r="A12" s="36" t="s">
        <v>572</v>
      </c>
      <c r="B12" s="36" t="s">
        <v>102</v>
      </c>
      <c r="C12" s="42" t="s">
        <v>573</v>
      </c>
      <c r="D12" s="42" t="s">
        <v>574</v>
      </c>
      <c r="E12" s="36" t="s">
        <v>575</v>
      </c>
      <c r="F12" s="36" t="s">
        <v>576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3"/>
  <sheetViews>
    <sheetView tabSelected="1" topLeftCell="D259" workbookViewId="0">
      <selection activeCell="G282" sqref="G282"/>
    </sheetView>
  </sheetViews>
  <sheetFormatPr defaultRowHeight="14.4" x14ac:dyDescent="0.3"/>
  <cols>
    <col min="1" max="1" width="5" customWidth="1"/>
    <col min="2" max="2" width="12" customWidth="1"/>
    <col min="3" max="3" width="10" customWidth="1"/>
    <col min="4" max="4" width="42" customWidth="1"/>
    <col min="5" max="5" width="18" customWidth="1"/>
    <col min="6" max="6" width="16" customWidth="1"/>
    <col min="7" max="7" width="10.5546875" bestFit="1" customWidth="1"/>
  </cols>
  <sheetData>
    <row r="1" spans="1:6" ht="25.95" customHeight="1" x14ac:dyDescent="0.3">
      <c r="A1" s="74" t="s">
        <v>577</v>
      </c>
      <c r="B1" s="67"/>
      <c r="C1" s="67"/>
      <c r="D1" s="67"/>
      <c r="E1" s="67"/>
      <c r="F1" s="67"/>
    </row>
    <row r="2" spans="1:6" ht="13.95" customHeight="1" x14ac:dyDescent="0.3">
      <c r="A2" s="72" t="s">
        <v>1</v>
      </c>
      <c r="B2" s="67"/>
      <c r="C2" s="67"/>
      <c r="D2" s="67"/>
      <c r="E2" s="67"/>
      <c r="F2" s="67"/>
    </row>
    <row r="4" spans="1:6" ht="19.95" customHeight="1" x14ac:dyDescent="0.3">
      <c r="A4" s="73" t="s">
        <v>578</v>
      </c>
      <c r="B4" s="67"/>
      <c r="C4" s="67"/>
      <c r="D4" s="67"/>
      <c r="E4" s="67"/>
      <c r="F4" s="67"/>
    </row>
    <row r="5" spans="1:6" ht="16.05" customHeight="1" x14ac:dyDescent="0.3">
      <c r="A5" s="43" t="s">
        <v>2</v>
      </c>
      <c r="B5" s="43" t="s">
        <v>3</v>
      </c>
      <c r="C5" s="43" t="s">
        <v>4</v>
      </c>
      <c r="D5" s="43" t="s">
        <v>5</v>
      </c>
      <c r="E5" s="43" t="s">
        <v>7</v>
      </c>
      <c r="F5" s="43" t="s">
        <v>11</v>
      </c>
    </row>
    <row r="6" spans="1:6" ht="16.95" customHeight="1" x14ac:dyDescent="0.3">
      <c r="A6" s="71" t="s">
        <v>579</v>
      </c>
      <c r="B6" s="67"/>
      <c r="C6" s="67"/>
      <c r="D6" s="67"/>
      <c r="E6" s="67"/>
      <c r="F6" s="44">
        <v>210969.78</v>
      </c>
    </row>
    <row r="7" spans="1:6" ht="13.95" customHeight="1" x14ac:dyDescent="0.3">
      <c r="A7" s="45">
        <v>1</v>
      </c>
      <c r="B7" s="45" t="s">
        <v>125</v>
      </c>
      <c r="C7" s="45" t="s">
        <v>124</v>
      </c>
      <c r="D7" s="46" t="s">
        <v>126</v>
      </c>
      <c r="E7" s="45" t="s">
        <v>127</v>
      </c>
      <c r="F7" s="47">
        <v>21907.14</v>
      </c>
    </row>
    <row r="8" spans="1:6" ht="13.95" customHeight="1" x14ac:dyDescent="0.3">
      <c r="A8" s="48">
        <v>2</v>
      </c>
      <c r="B8" s="48" t="s">
        <v>154</v>
      </c>
      <c r="C8" s="48" t="s">
        <v>153</v>
      </c>
      <c r="D8" s="49" t="s">
        <v>155</v>
      </c>
      <c r="E8" s="48" t="s">
        <v>156</v>
      </c>
      <c r="F8" s="50">
        <v>25550.29</v>
      </c>
    </row>
    <row r="9" spans="1:6" ht="13.95" customHeight="1" x14ac:dyDescent="0.3">
      <c r="A9" s="45">
        <v>3</v>
      </c>
      <c r="B9" s="45" t="s">
        <v>297</v>
      </c>
      <c r="C9" s="45" t="s">
        <v>296</v>
      </c>
      <c r="D9" s="46" t="s">
        <v>298</v>
      </c>
      <c r="E9" s="45" t="s">
        <v>299</v>
      </c>
      <c r="F9" s="47">
        <v>11070.98</v>
      </c>
    </row>
    <row r="10" spans="1:6" ht="13.95" customHeight="1" x14ac:dyDescent="0.3">
      <c r="A10" s="48">
        <v>4</v>
      </c>
      <c r="B10" s="48" t="s">
        <v>350</v>
      </c>
      <c r="C10" s="48" t="s">
        <v>347</v>
      </c>
      <c r="D10" s="49" t="s">
        <v>351</v>
      </c>
      <c r="E10" s="48" t="s">
        <v>352</v>
      </c>
      <c r="F10" s="50">
        <v>16545.27</v>
      </c>
    </row>
    <row r="11" spans="1:6" ht="13.95" customHeight="1" x14ac:dyDescent="0.3">
      <c r="A11" s="45">
        <v>5</v>
      </c>
      <c r="B11" s="45" t="s">
        <v>414</v>
      </c>
      <c r="C11" s="45" t="s">
        <v>412</v>
      </c>
      <c r="D11" s="46" t="s">
        <v>415</v>
      </c>
      <c r="E11" s="45" t="s">
        <v>416</v>
      </c>
      <c r="F11" s="47">
        <v>12748.77</v>
      </c>
    </row>
    <row r="12" spans="1:6" ht="13.95" customHeight="1" x14ac:dyDescent="0.3">
      <c r="A12" s="48">
        <v>6</v>
      </c>
      <c r="B12" s="48" t="s">
        <v>276</v>
      </c>
      <c r="C12" s="48" t="s">
        <v>273</v>
      </c>
      <c r="D12" s="49" t="s">
        <v>277</v>
      </c>
      <c r="E12" s="48" t="s">
        <v>278</v>
      </c>
      <c r="F12" s="50">
        <v>10808.62</v>
      </c>
    </row>
    <row r="13" spans="1:6" ht="13.95" customHeight="1" x14ac:dyDescent="0.3">
      <c r="A13" s="45">
        <v>7</v>
      </c>
      <c r="B13" s="45" t="s">
        <v>369</v>
      </c>
      <c r="C13" s="45" t="s">
        <v>368</v>
      </c>
      <c r="D13" s="46" t="s">
        <v>370</v>
      </c>
      <c r="E13" s="45" t="s">
        <v>371</v>
      </c>
      <c r="F13" s="47">
        <v>25309.94</v>
      </c>
    </row>
    <row r="14" spans="1:6" ht="13.95" customHeight="1" x14ac:dyDescent="0.3">
      <c r="A14" s="48">
        <v>8</v>
      </c>
      <c r="B14" s="48" t="s">
        <v>394</v>
      </c>
      <c r="C14" s="48" t="s">
        <v>386</v>
      </c>
      <c r="D14" s="49" t="s">
        <v>395</v>
      </c>
      <c r="E14" s="48" t="s">
        <v>396</v>
      </c>
      <c r="F14" s="50">
        <v>23490.66</v>
      </c>
    </row>
    <row r="15" spans="1:6" ht="13.95" customHeight="1" x14ac:dyDescent="0.3">
      <c r="A15" s="45">
        <v>9</v>
      </c>
      <c r="B15" s="45" t="s">
        <v>23</v>
      </c>
      <c r="C15" s="45" t="s">
        <v>18</v>
      </c>
      <c r="D15" s="46" t="s">
        <v>24</v>
      </c>
      <c r="E15" s="45" t="s">
        <v>26</v>
      </c>
      <c r="F15" s="47">
        <v>37283.78</v>
      </c>
    </row>
    <row r="16" spans="1:6" ht="13.95" customHeight="1" x14ac:dyDescent="0.3">
      <c r="A16" s="48">
        <v>10</v>
      </c>
      <c r="B16" s="48" t="s">
        <v>334</v>
      </c>
      <c r="C16" s="48" t="s">
        <v>329</v>
      </c>
      <c r="D16" s="49" t="s">
        <v>337</v>
      </c>
      <c r="E16" s="48" t="s">
        <v>338</v>
      </c>
      <c r="F16" s="50">
        <v>11053.03</v>
      </c>
    </row>
    <row r="17" spans="1:7" ht="13.95" customHeight="1" x14ac:dyDescent="0.3">
      <c r="A17" s="45">
        <v>11</v>
      </c>
      <c r="B17" s="45" t="s">
        <v>216</v>
      </c>
      <c r="C17" s="45" t="s">
        <v>208</v>
      </c>
      <c r="D17" s="46" t="s">
        <v>217</v>
      </c>
      <c r="E17" s="45" t="s">
        <v>218</v>
      </c>
      <c r="F17" s="47">
        <v>15201.3</v>
      </c>
    </row>
    <row r="18" spans="1:7" ht="13.95" customHeight="1" x14ac:dyDescent="0.3">
      <c r="A18" s="68" t="s">
        <v>580</v>
      </c>
      <c r="B18" s="67"/>
      <c r="C18" s="67"/>
      <c r="D18" s="67"/>
      <c r="E18" s="67"/>
      <c r="F18" s="51">
        <v>210969.78</v>
      </c>
      <c r="G18" s="75">
        <f>F18-F15+15062.93</f>
        <v>188748.93</v>
      </c>
    </row>
    <row r="19" spans="1:7" ht="16.95" customHeight="1" x14ac:dyDescent="0.3">
      <c r="A19" s="71" t="s">
        <v>581</v>
      </c>
      <c r="B19" s="67"/>
      <c r="C19" s="67"/>
      <c r="D19" s="67"/>
      <c r="E19" s="67"/>
      <c r="F19" s="44">
        <v>169082</v>
      </c>
    </row>
    <row r="20" spans="1:7" ht="13.95" customHeight="1" x14ac:dyDescent="0.3">
      <c r="A20" s="45">
        <v>12</v>
      </c>
      <c r="B20" s="45" t="s">
        <v>346</v>
      </c>
      <c r="C20" s="45" t="s">
        <v>347</v>
      </c>
      <c r="D20" s="46" t="s">
        <v>58</v>
      </c>
      <c r="E20" s="45" t="s">
        <v>348</v>
      </c>
      <c r="F20" s="47">
        <v>1962</v>
      </c>
    </row>
    <row r="21" spans="1:7" ht="13.95" customHeight="1" x14ac:dyDescent="0.3">
      <c r="A21" s="48">
        <v>13</v>
      </c>
      <c r="B21" s="48" t="s">
        <v>52</v>
      </c>
      <c r="C21" s="48" t="s">
        <v>18</v>
      </c>
      <c r="D21" s="49" t="s">
        <v>53</v>
      </c>
      <c r="E21" s="48" t="s">
        <v>55</v>
      </c>
      <c r="F21" s="50">
        <v>1962</v>
      </c>
    </row>
    <row r="22" spans="1:7" ht="13.95" customHeight="1" x14ac:dyDescent="0.3">
      <c r="A22" s="45">
        <v>14</v>
      </c>
      <c r="B22" s="45" t="s">
        <v>52</v>
      </c>
      <c r="C22" s="45" t="s">
        <v>18</v>
      </c>
      <c r="D22" s="46" t="s">
        <v>58</v>
      </c>
      <c r="E22" s="45" t="s">
        <v>59</v>
      </c>
      <c r="F22" s="47">
        <v>22500</v>
      </c>
    </row>
    <row r="23" spans="1:7" ht="13.95" customHeight="1" x14ac:dyDescent="0.3">
      <c r="A23" s="48">
        <v>15</v>
      </c>
      <c r="B23" s="48" t="s">
        <v>339</v>
      </c>
      <c r="C23" s="48" t="s">
        <v>329</v>
      </c>
      <c r="D23" s="49" t="s">
        <v>58</v>
      </c>
      <c r="E23" s="48" t="s">
        <v>340</v>
      </c>
      <c r="F23" s="50">
        <v>1962</v>
      </c>
    </row>
    <row r="24" spans="1:7" ht="13.95" customHeight="1" x14ac:dyDescent="0.3">
      <c r="A24" s="45">
        <v>16</v>
      </c>
      <c r="B24" s="45" t="s">
        <v>376</v>
      </c>
      <c r="C24" s="45" t="s">
        <v>368</v>
      </c>
      <c r="D24" s="46" t="s">
        <v>58</v>
      </c>
      <c r="E24" s="45" t="s">
        <v>377</v>
      </c>
      <c r="F24" s="47">
        <v>1962</v>
      </c>
    </row>
    <row r="25" spans="1:7" ht="13.95" customHeight="1" x14ac:dyDescent="0.3">
      <c r="A25" s="48">
        <v>17</v>
      </c>
      <c r="B25" s="48" t="s">
        <v>174</v>
      </c>
      <c r="C25" s="48" t="s">
        <v>153</v>
      </c>
      <c r="D25" s="49" t="s">
        <v>175</v>
      </c>
      <c r="E25" s="48" t="s">
        <v>176</v>
      </c>
      <c r="F25" s="50">
        <v>15000</v>
      </c>
    </row>
    <row r="26" spans="1:7" ht="13.95" customHeight="1" x14ac:dyDescent="0.3">
      <c r="A26" s="45">
        <v>18</v>
      </c>
      <c r="B26" s="45" t="s">
        <v>174</v>
      </c>
      <c r="C26" s="45" t="s">
        <v>153</v>
      </c>
      <c r="D26" s="46" t="s">
        <v>147</v>
      </c>
      <c r="E26" s="45" t="s">
        <v>179</v>
      </c>
      <c r="F26" s="47">
        <v>1962</v>
      </c>
    </row>
    <row r="27" spans="1:7" ht="13.95" customHeight="1" x14ac:dyDescent="0.3">
      <c r="A27" s="48">
        <v>19</v>
      </c>
      <c r="B27" s="48" t="s">
        <v>308</v>
      </c>
      <c r="C27" s="48" t="s">
        <v>296</v>
      </c>
      <c r="D27" s="49" t="s">
        <v>58</v>
      </c>
      <c r="E27" s="48" t="s">
        <v>310</v>
      </c>
      <c r="F27" s="50">
        <v>1962</v>
      </c>
    </row>
    <row r="28" spans="1:7" ht="13.95" customHeight="1" x14ac:dyDescent="0.3">
      <c r="A28" s="45">
        <v>20</v>
      </c>
      <c r="B28" s="45" t="s">
        <v>378</v>
      </c>
      <c r="C28" s="45" t="s">
        <v>368</v>
      </c>
      <c r="D28" s="46" t="s">
        <v>178</v>
      </c>
      <c r="E28" s="45" t="s">
        <v>363</v>
      </c>
      <c r="F28" s="47">
        <v>10000</v>
      </c>
    </row>
    <row r="29" spans="1:7" ht="13.95" customHeight="1" x14ac:dyDescent="0.3">
      <c r="A29" s="48">
        <v>21</v>
      </c>
      <c r="B29" s="48" t="s">
        <v>378</v>
      </c>
      <c r="C29" s="48" t="s">
        <v>368</v>
      </c>
      <c r="D29" s="49" t="s">
        <v>58</v>
      </c>
      <c r="E29" s="48" t="s">
        <v>379</v>
      </c>
      <c r="F29" s="50">
        <v>10000</v>
      </c>
    </row>
    <row r="30" spans="1:7" ht="13.95" customHeight="1" x14ac:dyDescent="0.3">
      <c r="A30" s="45">
        <v>22</v>
      </c>
      <c r="B30" s="45" t="s">
        <v>311</v>
      </c>
      <c r="C30" s="45" t="s">
        <v>296</v>
      </c>
      <c r="D30" s="46" t="s">
        <v>178</v>
      </c>
      <c r="E30" s="45" t="s">
        <v>234</v>
      </c>
      <c r="F30" s="47">
        <v>30000</v>
      </c>
    </row>
    <row r="31" spans="1:7" ht="13.95" customHeight="1" x14ac:dyDescent="0.3">
      <c r="A31" s="48">
        <v>23</v>
      </c>
      <c r="B31" s="48" t="s">
        <v>231</v>
      </c>
      <c r="C31" s="48" t="s">
        <v>208</v>
      </c>
      <c r="D31" s="49" t="s">
        <v>58</v>
      </c>
      <c r="E31" s="48" t="s">
        <v>232</v>
      </c>
      <c r="F31" s="50">
        <v>1962</v>
      </c>
    </row>
    <row r="32" spans="1:7" ht="13.95" customHeight="1" x14ac:dyDescent="0.3">
      <c r="A32" s="45">
        <v>24</v>
      </c>
      <c r="B32" s="45" t="s">
        <v>231</v>
      </c>
      <c r="C32" s="45" t="s">
        <v>208</v>
      </c>
      <c r="D32" s="46" t="s">
        <v>58</v>
      </c>
      <c r="E32" s="45" t="s">
        <v>233</v>
      </c>
      <c r="F32" s="47">
        <v>1962</v>
      </c>
    </row>
    <row r="33" spans="1:6" ht="13.95" customHeight="1" x14ac:dyDescent="0.3">
      <c r="A33" s="48">
        <v>25</v>
      </c>
      <c r="B33" s="48" t="s">
        <v>231</v>
      </c>
      <c r="C33" s="48" t="s">
        <v>208</v>
      </c>
      <c r="D33" s="49" t="s">
        <v>178</v>
      </c>
      <c r="E33" s="48" t="s">
        <v>234</v>
      </c>
      <c r="F33" s="50">
        <v>10000</v>
      </c>
    </row>
    <row r="34" spans="1:6" ht="13.95" customHeight="1" x14ac:dyDescent="0.3">
      <c r="A34" s="45">
        <v>26</v>
      </c>
      <c r="B34" s="45" t="s">
        <v>425</v>
      </c>
      <c r="C34" s="45" t="s">
        <v>412</v>
      </c>
      <c r="D34" s="46" t="s">
        <v>58</v>
      </c>
      <c r="E34" s="45" t="s">
        <v>426</v>
      </c>
      <c r="F34" s="47">
        <v>1962</v>
      </c>
    </row>
    <row r="35" spans="1:6" ht="13.95" customHeight="1" x14ac:dyDescent="0.3">
      <c r="A35" s="48">
        <v>27</v>
      </c>
      <c r="B35" s="48" t="s">
        <v>362</v>
      </c>
      <c r="C35" s="48" t="s">
        <v>347</v>
      </c>
      <c r="D35" s="49" t="s">
        <v>178</v>
      </c>
      <c r="E35" s="48" t="s">
        <v>363</v>
      </c>
      <c r="F35" s="50">
        <v>10000</v>
      </c>
    </row>
    <row r="36" spans="1:6" ht="13.95" customHeight="1" x14ac:dyDescent="0.3">
      <c r="A36" s="45">
        <v>28</v>
      </c>
      <c r="B36" s="45" t="s">
        <v>117</v>
      </c>
      <c r="C36" s="45" t="s">
        <v>98</v>
      </c>
      <c r="D36" s="46" t="s">
        <v>118</v>
      </c>
      <c r="E36" s="45" t="s">
        <v>119</v>
      </c>
      <c r="F36" s="47">
        <v>1962</v>
      </c>
    </row>
    <row r="37" spans="1:6" ht="13.95" customHeight="1" x14ac:dyDescent="0.3">
      <c r="A37" s="48">
        <v>29</v>
      </c>
      <c r="B37" s="48" t="s">
        <v>323</v>
      </c>
      <c r="C37" s="48" t="s">
        <v>296</v>
      </c>
      <c r="D37" s="49" t="s">
        <v>178</v>
      </c>
      <c r="E37" s="48" t="s">
        <v>234</v>
      </c>
      <c r="F37" s="50">
        <v>10000</v>
      </c>
    </row>
    <row r="38" spans="1:6" ht="13.95" customHeight="1" x14ac:dyDescent="0.3">
      <c r="A38" s="45">
        <v>30</v>
      </c>
      <c r="B38" s="45" t="s">
        <v>146</v>
      </c>
      <c r="C38" s="45" t="s">
        <v>124</v>
      </c>
      <c r="D38" s="46" t="s">
        <v>147</v>
      </c>
      <c r="E38" s="45" t="s">
        <v>148</v>
      </c>
      <c r="F38" s="47">
        <v>1962</v>
      </c>
    </row>
    <row r="39" spans="1:6" ht="13.95" customHeight="1" x14ac:dyDescent="0.3">
      <c r="A39" s="48">
        <v>31</v>
      </c>
      <c r="B39" s="48" t="s">
        <v>191</v>
      </c>
      <c r="C39" s="48" t="s">
        <v>153</v>
      </c>
      <c r="D39" s="49" t="s">
        <v>175</v>
      </c>
      <c r="E39" s="48" t="s">
        <v>176</v>
      </c>
      <c r="F39" s="50">
        <v>20000</v>
      </c>
    </row>
    <row r="40" spans="1:6" ht="13.95" customHeight="1" x14ac:dyDescent="0.3">
      <c r="A40" s="45">
        <v>32</v>
      </c>
      <c r="B40" s="45" t="s">
        <v>257</v>
      </c>
      <c r="C40" s="45" t="s">
        <v>208</v>
      </c>
      <c r="D40" s="46" t="s">
        <v>178</v>
      </c>
      <c r="E40" s="45" t="s">
        <v>234</v>
      </c>
      <c r="F40" s="47">
        <v>10000</v>
      </c>
    </row>
    <row r="41" spans="1:6" ht="13.95" customHeight="1" x14ac:dyDescent="0.3">
      <c r="A41" s="68" t="s">
        <v>582</v>
      </c>
      <c r="B41" s="67"/>
      <c r="C41" s="67"/>
      <c r="D41" s="67"/>
      <c r="E41" s="67"/>
      <c r="F41" s="51">
        <v>169082</v>
      </c>
    </row>
    <row r="42" spans="1:6" ht="16.95" customHeight="1" x14ac:dyDescent="0.3">
      <c r="A42" s="71" t="s">
        <v>583</v>
      </c>
      <c r="B42" s="67"/>
      <c r="C42" s="67"/>
      <c r="D42" s="67"/>
      <c r="E42" s="67"/>
      <c r="F42" s="44">
        <v>46600</v>
      </c>
    </row>
    <row r="43" spans="1:6" ht="13.95" customHeight="1" x14ac:dyDescent="0.3">
      <c r="A43" s="45">
        <v>33</v>
      </c>
      <c r="B43" s="45" t="s">
        <v>99</v>
      </c>
      <c r="C43" s="45" t="s">
        <v>98</v>
      </c>
      <c r="D43" s="46" t="s">
        <v>82</v>
      </c>
      <c r="E43" s="45" t="s">
        <v>100</v>
      </c>
      <c r="F43" s="47">
        <v>3500</v>
      </c>
    </row>
    <row r="44" spans="1:6" ht="13.95" customHeight="1" x14ac:dyDescent="0.3">
      <c r="A44" s="48">
        <v>34</v>
      </c>
      <c r="B44" s="48" t="s">
        <v>330</v>
      </c>
      <c r="C44" s="48" t="s">
        <v>329</v>
      </c>
      <c r="D44" s="49" t="s">
        <v>82</v>
      </c>
      <c r="E44" s="48" t="s">
        <v>331</v>
      </c>
      <c r="F44" s="50">
        <v>4500</v>
      </c>
    </row>
    <row r="45" spans="1:6" ht="13.95" customHeight="1" x14ac:dyDescent="0.3">
      <c r="A45" s="45">
        <v>35</v>
      </c>
      <c r="B45" s="45" t="s">
        <v>285</v>
      </c>
      <c r="C45" s="45" t="s">
        <v>273</v>
      </c>
      <c r="D45" s="46" t="s">
        <v>82</v>
      </c>
      <c r="E45" s="45" t="s">
        <v>286</v>
      </c>
      <c r="F45" s="47">
        <v>5000</v>
      </c>
    </row>
    <row r="46" spans="1:6" ht="13.95" customHeight="1" x14ac:dyDescent="0.3">
      <c r="A46" s="48">
        <v>36</v>
      </c>
      <c r="B46" s="48" t="s">
        <v>308</v>
      </c>
      <c r="C46" s="48" t="s">
        <v>296</v>
      </c>
      <c r="D46" s="49" t="s">
        <v>82</v>
      </c>
      <c r="E46" s="48" t="s">
        <v>309</v>
      </c>
      <c r="F46" s="50">
        <v>6000</v>
      </c>
    </row>
    <row r="47" spans="1:6" ht="13.95" customHeight="1" x14ac:dyDescent="0.3">
      <c r="A47" s="45">
        <v>37</v>
      </c>
      <c r="B47" s="45" t="s">
        <v>423</v>
      </c>
      <c r="C47" s="45" t="s">
        <v>412</v>
      </c>
      <c r="D47" s="46" t="s">
        <v>82</v>
      </c>
      <c r="E47" s="45" t="s">
        <v>424</v>
      </c>
      <c r="F47" s="47">
        <v>2300</v>
      </c>
    </row>
    <row r="48" spans="1:6" ht="13.95" customHeight="1" x14ac:dyDescent="0.3">
      <c r="A48" s="48">
        <v>38</v>
      </c>
      <c r="B48" s="48" t="s">
        <v>224</v>
      </c>
      <c r="C48" s="48" t="s">
        <v>208</v>
      </c>
      <c r="D48" s="49" t="s">
        <v>82</v>
      </c>
      <c r="E48" s="48" t="s">
        <v>225</v>
      </c>
      <c r="F48" s="50">
        <v>5000</v>
      </c>
    </row>
    <row r="49" spans="1:6" ht="13.95" customHeight="1" x14ac:dyDescent="0.3">
      <c r="A49" s="45">
        <v>39</v>
      </c>
      <c r="B49" s="45" t="s">
        <v>112</v>
      </c>
      <c r="C49" s="45" t="s">
        <v>98</v>
      </c>
      <c r="D49" s="46" t="s">
        <v>82</v>
      </c>
      <c r="E49" s="45" t="s">
        <v>113</v>
      </c>
      <c r="F49" s="47">
        <v>3000</v>
      </c>
    </row>
    <row r="50" spans="1:6" ht="13.95" customHeight="1" x14ac:dyDescent="0.3">
      <c r="A50" s="48">
        <v>40</v>
      </c>
      <c r="B50" s="48" t="s">
        <v>237</v>
      </c>
      <c r="C50" s="48" t="s">
        <v>208</v>
      </c>
      <c r="D50" s="49" t="s">
        <v>82</v>
      </c>
      <c r="E50" s="48" t="s">
        <v>238</v>
      </c>
      <c r="F50" s="50">
        <v>5000</v>
      </c>
    </row>
    <row r="51" spans="1:6" ht="13.95" customHeight="1" x14ac:dyDescent="0.3">
      <c r="A51" s="45">
        <v>41</v>
      </c>
      <c r="B51" s="45" t="s">
        <v>242</v>
      </c>
      <c r="C51" s="45" t="s">
        <v>208</v>
      </c>
      <c r="D51" s="46" t="s">
        <v>82</v>
      </c>
      <c r="E51" s="45" t="s">
        <v>243</v>
      </c>
      <c r="F51" s="47">
        <v>2000</v>
      </c>
    </row>
    <row r="52" spans="1:6" ht="13.95" customHeight="1" x14ac:dyDescent="0.3">
      <c r="A52" s="48">
        <v>42</v>
      </c>
      <c r="B52" s="48" t="s">
        <v>242</v>
      </c>
      <c r="C52" s="48" t="s">
        <v>208</v>
      </c>
      <c r="D52" s="49" t="s">
        <v>82</v>
      </c>
      <c r="E52" s="48" t="s">
        <v>244</v>
      </c>
      <c r="F52" s="50">
        <v>2000</v>
      </c>
    </row>
    <row r="53" spans="1:6" ht="13.95" customHeight="1" x14ac:dyDescent="0.3">
      <c r="A53" s="45">
        <v>43</v>
      </c>
      <c r="B53" s="45" t="s">
        <v>139</v>
      </c>
      <c r="C53" s="45" t="s">
        <v>124</v>
      </c>
      <c r="D53" s="46" t="s">
        <v>82</v>
      </c>
      <c r="E53" s="45" t="s">
        <v>140</v>
      </c>
      <c r="F53" s="47">
        <v>2000</v>
      </c>
    </row>
    <row r="54" spans="1:6" ht="13.95" customHeight="1" x14ac:dyDescent="0.3">
      <c r="A54" s="48">
        <v>44</v>
      </c>
      <c r="B54" s="48" t="s">
        <v>81</v>
      </c>
      <c r="C54" s="48" t="s">
        <v>18</v>
      </c>
      <c r="D54" s="49" t="s">
        <v>82</v>
      </c>
      <c r="E54" s="48" t="s">
        <v>83</v>
      </c>
      <c r="F54" s="50">
        <v>1000</v>
      </c>
    </row>
    <row r="55" spans="1:6" ht="13.95" customHeight="1" x14ac:dyDescent="0.3">
      <c r="A55" s="45">
        <v>45</v>
      </c>
      <c r="B55" s="45" t="s">
        <v>81</v>
      </c>
      <c r="C55" s="45" t="s">
        <v>18</v>
      </c>
      <c r="D55" s="46" t="s">
        <v>82</v>
      </c>
      <c r="E55" s="45" t="s">
        <v>86</v>
      </c>
      <c r="F55" s="47">
        <v>2000</v>
      </c>
    </row>
    <row r="56" spans="1:6" ht="13.95" customHeight="1" x14ac:dyDescent="0.3">
      <c r="A56" s="48">
        <v>46</v>
      </c>
      <c r="B56" s="48" t="s">
        <v>259</v>
      </c>
      <c r="C56" s="48" t="s">
        <v>208</v>
      </c>
      <c r="D56" s="49" t="s">
        <v>82</v>
      </c>
      <c r="E56" s="48" t="s">
        <v>260</v>
      </c>
      <c r="F56" s="50">
        <v>900</v>
      </c>
    </row>
    <row r="57" spans="1:6" ht="13.95" customHeight="1" x14ac:dyDescent="0.3">
      <c r="A57" s="45">
        <v>47</v>
      </c>
      <c r="B57" s="45" t="s">
        <v>266</v>
      </c>
      <c r="C57" s="45" t="s">
        <v>208</v>
      </c>
      <c r="D57" s="46" t="s">
        <v>82</v>
      </c>
      <c r="E57" s="45" t="s">
        <v>267</v>
      </c>
      <c r="F57" s="47">
        <v>1400</v>
      </c>
    </row>
    <row r="58" spans="1:6" ht="13.95" customHeight="1" x14ac:dyDescent="0.3">
      <c r="A58" s="48">
        <v>48</v>
      </c>
      <c r="B58" s="48" t="s">
        <v>266</v>
      </c>
      <c r="C58" s="48" t="s">
        <v>208</v>
      </c>
      <c r="D58" s="49" t="s">
        <v>82</v>
      </c>
      <c r="E58" s="48" t="s">
        <v>268</v>
      </c>
      <c r="F58" s="50">
        <v>1000</v>
      </c>
    </row>
    <row r="59" spans="1:6" ht="13.95" customHeight="1" x14ac:dyDescent="0.3">
      <c r="A59" s="68" t="s">
        <v>584</v>
      </c>
      <c r="B59" s="67"/>
      <c r="C59" s="67"/>
      <c r="D59" s="67"/>
      <c r="E59" s="67"/>
      <c r="F59" s="51">
        <v>46600</v>
      </c>
    </row>
    <row r="60" spans="1:6" ht="16.95" customHeight="1" x14ac:dyDescent="0.3">
      <c r="A60" s="71" t="s">
        <v>585</v>
      </c>
      <c r="B60" s="67"/>
      <c r="C60" s="67"/>
      <c r="D60" s="67"/>
      <c r="E60" s="67"/>
      <c r="F60" s="44">
        <v>5138.2</v>
      </c>
    </row>
    <row r="61" spans="1:6" ht="13.95" customHeight="1" x14ac:dyDescent="0.3">
      <c r="A61" s="45">
        <v>49</v>
      </c>
      <c r="B61" s="45" t="s">
        <v>385</v>
      </c>
      <c r="C61" s="45" t="s">
        <v>386</v>
      </c>
      <c r="D61" s="46" t="s">
        <v>387</v>
      </c>
      <c r="E61" s="45" t="s">
        <v>388</v>
      </c>
      <c r="F61" s="47">
        <v>5138.2</v>
      </c>
    </row>
    <row r="62" spans="1:6" ht="13.95" customHeight="1" x14ac:dyDescent="0.3">
      <c r="A62" s="68" t="s">
        <v>586</v>
      </c>
      <c r="B62" s="67"/>
      <c r="C62" s="67"/>
      <c r="D62" s="67"/>
      <c r="E62" s="67"/>
      <c r="F62" s="51">
        <v>5138.2</v>
      </c>
    </row>
    <row r="63" spans="1:6" ht="16.95" customHeight="1" x14ac:dyDescent="0.3">
      <c r="A63" s="71" t="s">
        <v>587</v>
      </c>
      <c r="B63" s="67"/>
      <c r="C63" s="67"/>
      <c r="D63" s="67"/>
      <c r="E63" s="67"/>
      <c r="F63" s="44">
        <v>2220</v>
      </c>
    </row>
    <row r="64" spans="1:6" ht="13.95" customHeight="1" x14ac:dyDescent="0.3">
      <c r="A64" s="45">
        <v>50</v>
      </c>
      <c r="B64" s="45" t="s">
        <v>62</v>
      </c>
      <c r="C64" s="45" t="s">
        <v>18</v>
      </c>
      <c r="D64" s="46" t="s">
        <v>58</v>
      </c>
      <c r="E64" s="45" t="s">
        <v>64</v>
      </c>
      <c r="F64" s="47">
        <v>1860</v>
      </c>
    </row>
    <row r="65" spans="1:6" ht="13.95" customHeight="1" x14ac:dyDescent="0.3">
      <c r="A65" s="48">
        <v>51</v>
      </c>
      <c r="B65" s="48" t="s">
        <v>134</v>
      </c>
      <c r="C65" s="48" t="s">
        <v>124</v>
      </c>
      <c r="D65" s="49" t="s">
        <v>58</v>
      </c>
      <c r="E65" s="48" t="s">
        <v>135</v>
      </c>
      <c r="F65" s="50">
        <v>360</v>
      </c>
    </row>
    <row r="66" spans="1:6" ht="13.95" customHeight="1" x14ac:dyDescent="0.3">
      <c r="A66" s="68" t="s">
        <v>588</v>
      </c>
      <c r="B66" s="67"/>
      <c r="C66" s="67"/>
      <c r="D66" s="67"/>
      <c r="E66" s="67"/>
      <c r="F66" s="51">
        <v>2220</v>
      </c>
    </row>
    <row r="67" spans="1:6" ht="16.95" customHeight="1" x14ac:dyDescent="0.3">
      <c r="A67" s="71" t="s">
        <v>589</v>
      </c>
      <c r="B67" s="67"/>
      <c r="C67" s="67"/>
      <c r="D67" s="67"/>
      <c r="E67" s="67"/>
      <c r="F67" s="44">
        <v>822.5</v>
      </c>
    </row>
    <row r="68" spans="1:6" ht="13.95" customHeight="1" x14ac:dyDescent="0.3">
      <c r="A68" s="45">
        <v>52</v>
      </c>
      <c r="B68" s="45" t="s">
        <v>334</v>
      </c>
      <c r="C68" s="45" t="s">
        <v>329</v>
      </c>
      <c r="D68" s="46" t="s">
        <v>335</v>
      </c>
      <c r="E68" s="45" t="s">
        <v>336</v>
      </c>
      <c r="F68" s="47">
        <v>822.5</v>
      </c>
    </row>
    <row r="69" spans="1:6" ht="13.95" customHeight="1" x14ac:dyDescent="0.3">
      <c r="A69" s="68" t="s">
        <v>590</v>
      </c>
      <c r="B69" s="67"/>
      <c r="C69" s="67"/>
      <c r="D69" s="67"/>
      <c r="E69" s="67"/>
      <c r="F69" s="51">
        <v>822.5</v>
      </c>
    </row>
    <row r="70" spans="1:6" ht="16.95" customHeight="1" x14ac:dyDescent="0.3">
      <c r="A70" s="71" t="s">
        <v>591</v>
      </c>
      <c r="B70" s="67"/>
      <c r="C70" s="67"/>
      <c r="D70" s="67"/>
      <c r="E70" s="67"/>
      <c r="F70" s="44">
        <v>213.52</v>
      </c>
    </row>
    <row r="71" spans="1:6" ht="13.95" customHeight="1" x14ac:dyDescent="0.3">
      <c r="A71" s="45">
        <v>53</v>
      </c>
      <c r="B71" s="45" t="s">
        <v>106</v>
      </c>
      <c r="C71" s="45" t="s">
        <v>98</v>
      </c>
      <c r="D71" s="46" t="s">
        <v>107</v>
      </c>
      <c r="E71" s="45" t="s">
        <v>109</v>
      </c>
      <c r="F71" s="47">
        <v>56.3</v>
      </c>
    </row>
    <row r="72" spans="1:6" ht="13.95" customHeight="1" x14ac:dyDescent="0.3">
      <c r="A72" s="48">
        <v>54</v>
      </c>
      <c r="B72" s="48" t="s">
        <v>136</v>
      </c>
      <c r="C72" s="48" t="s">
        <v>124</v>
      </c>
      <c r="D72" s="49" t="s">
        <v>107</v>
      </c>
      <c r="E72" s="48" t="s">
        <v>137</v>
      </c>
      <c r="F72" s="50">
        <v>55.58</v>
      </c>
    </row>
    <row r="73" spans="1:6" ht="13.95" customHeight="1" x14ac:dyDescent="0.3">
      <c r="A73" s="45">
        <v>55</v>
      </c>
      <c r="B73" s="45" t="s">
        <v>185</v>
      </c>
      <c r="C73" s="45" t="s">
        <v>153</v>
      </c>
      <c r="D73" s="46" t="s">
        <v>107</v>
      </c>
      <c r="E73" s="45" t="s">
        <v>186</v>
      </c>
      <c r="F73" s="47">
        <v>51.27</v>
      </c>
    </row>
    <row r="74" spans="1:6" ht="13.95" customHeight="1" x14ac:dyDescent="0.3">
      <c r="A74" s="48">
        <v>56</v>
      </c>
      <c r="B74" s="48" t="s">
        <v>255</v>
      </c>
      <c r="C74" s="48" t="s">
        <v>208</v>
      </c>
      <c r="D74" s="49" t="s">
        <v>107</v>
      </c>
      <c r="E74" s="48" t="s">
        <v>256</v>
      </c>
      <c r="F74" s="50">
        <v>50.37</v>
      </c>
    </row>
    <row r="75" spans="1:6" ht="13.95" customHeight="1" x14ac:dyDescent="0.3">
      <c r="A75" s="68" t="s">
        <v>592</v>
      </c>
      <c r="B75" s="67"/>
      <c r="C75" s="67"/>
      <c r="D75" s="67"/>
      <c r="E75" s="67"/>
      <c r="F75" s="51">
        <v>213.52</v>
      </c>
    </row>
    <row r="77" spans="1:6" ht="18" customHeight="1" x14ac:dyDescent="0.3">
      <c r="A77" s="66" t="s">
        <v>593</v>
      </c>
      <c r="B77" s="67"/>
      <c r="C77" s="67"/>
      <c r="D77" s="67"/>
      <c r="E77" s="67"/>
      <c r="F77" s="52">
        <v>435046</v>
      </c>
    </row>
    <row r="80" spans="1:6" ht="19.95" customHeight="1" x14ac:dyDescent="0.3">
      <c r="A80" s="70" t="s">
        <v>594</v>
      </c>
      <c r="B80" s="67"/>
      <c r="C80" s="67"/>
      <c r="D80" s="67"/>
      <c r="E80" s="67"/>
      <c r="F80" s="67"/>
    </row>
    <row r="81" spans="1:6" ht="16.05" customHeight="1" x14ac:dyDescent="0.3">
      <c r="A81" s="53" t="s">
        <v>2</v>
      </c>
      <c r="B81" s="53" t="s">
        <v>3</v>
      </c>
      <c r="C81" s="53" t="s">
        <v>4</v>
      </c>
      <c r="D81" s="53" t="s">
        <v>5</v>
      </c>
      <c r="E81" s="53" t="s">
        <v>7</v>
      </c>
      <c r="F81" s="53" t="s">
        <v>10</v>
      </c>
    </row>
    <row r="82" spans="1:6" ht="16.95" customHeight="1" x14ac:dyDescent="0.3">
      <c r="A82" s="69" t="s">
        <v>595</v>
      </c>
      <c r="B82" s="67"/>
      <c r="C82" s="67"/>
      <c r="D82" s="67"/>
      <c r="E82" s="67"/>
      <c r="F82" s="54">
        <v>272414</v>
      </c>
    </row>
    <row r="83" spans="1:6" ht="13.95" customHeight="1" x14ac:dyDescent="0.3">
      <c r="A83" s="55">
        <v>1</v>
      </c>
      <c r="B83" s="55" t="s">
        <v>346</v>
      </c>
      <c r="C83" s="55" t="s">
        <v>347</v>
      </c>
      <c r="D83" s="56" t="s">
        <v>29</v>
      </c>
      <c r="E83" s="55" t="s">
        <v>349</v>
      </c>
      <c r="F83" s="57">
        <v>2000</v>
      </c>
    </row>
    <row r="84" spans="1:6" ht="13.95" customHeight="1" x14ac:dyDescent="0.3">
      <c r="A84" s="48">
        <v>2</v>
      </c>
      <c r="B84" s="48" t="s">
        <v>411</v>
      </c>
      <c r="C84" s="48" t="s">
        <v>412</v>
      </c>
      <c r="D84" s="49" t="s">
        <v>29</v>
      </c>
      <c r="E84" s="48" t="s">
        <v>413</v>
      </c>
      <c r="F84" s="50">
        <v>2000</v>
      </c>
    </row>
    <row r="85" spans="1:6" ht="13.95" customHeight="1" x14ac:dyDescent="0.3">
      <c r="A85" s="55">
        <v>3</v>
      </c>
      <c r="B85" s="55" t="s">
        <v>274</v>
      </c>
      <c r="C85" s="55" t="s">
        <v>273</v>
      </c>
      <c r="D85" s="56" t="s">
        <v>29</v>
      </c>
      <c r="E85" s="55" t="s">
        <v>275</v>
      </c>
      <c r="F85" s="57">
        <v>200</v>
      </c>
    </row>
    <row r="86" spans="1:6" ht="13.95" customHeight="1" x14ac:dyDescent="0.3">
      <c r="A86" s="48">
        <v>4</v>
      </c>
      <c r="B86" s="48" t="s">
        <v>125</v>
      </c>
      <c r="C86" s="48" t="s">
        <v>124</v>
      </c>
      <c r="D86" s="49" t="s">
        <v>29</v>
      </c>
      <c r="E86" s="48" t="s">
        <v>130</v>
      </c>
      <c r="F86" s="50">
        <v>10000</v>
      </c>
    </row>
    <row r="87" spans="1:6" ht="13.95" customHeight="1" x14ac:dyDescent="0.3">
      <c r="A87" s="55">
        <v>5</v>
      </c>
      <c r="B87" s="55" t="s">
        <v>125</v>
      </c>
      <c r="C87" s="55" t="s">
        <v>124</v>
      </c>
      <c r="D87" s="56" t="s">
        <v>29</v>
      </c>
      <c r="E87" s="55" t="s">
        <v>131</v>
      </c>
      <c r="F87" s="57">
        <v>2000</v>
      </c>
    </row>
    <row r="88" spans="1:6" ht="13.95" customHeight="1" x14ac:dyDescent="0.3">
      <c r="A88" s="48">
        <v>6</v>
      </c>
      <c r="B88" s="48" t="s">
        <v>297</v>
      </c>
      <c r="C88" s="48" t="s">
        <v>296</v>
      </c>
      <c r="D88" s="49" t="s">
        <v>29</v>
      </c>
      <c r="E88" s="48" t="s">
        <v>300</v>
      </c>
      <c r="F88" s="50">
        <v>2000</v>
      </c>
    </row>
    <row r="89" spans="1:6" ht="13.95" customHeight="1" x14ac:dyDescent="0.3">
      <c r="A89" s="55">
        <v>7</v>
      </c>
      <c r="B89" s="55" t="s">
        <v>157</v>
      </c>
      <c r="C89" s="55" t="s">
        <v>153</v>
      </c>
      <c r="D89" s="56" t="s">
        <v>29</v>
      </c>
      <c r="E89" s="55" t="s">
        <v>158</v>
      </c>
      <c r="F89" s="57">
        <v>5000</v>
      </c>
    </row>
    <row r="90" spans="1:6" ht="13.95" customHeight="1" x14ac:dyDescent="0.3">
      <c r="A90" s="48">
        <v>8</v>
      </c>
      <c r="B90" s="48" t="s">
        <v>157</v>
      </c>
      <c r="C90" s="48" t="s">
        <v>153</v>
      </c>
      <c r="D90" s="49" t="s">
        <v>29</v>
      </c>
      <c r="E90" s="48" t="s">
        <v>167</v>
      </c>
      <c r="F90" s="50">
        <v>5000</v>
      </c>
    </row>
    <row r="91" spans="1:6" ht="13.95" customHeight="1" x14ac:dyDescent="0.3">
      <c r="A91" s="55">
        <v>9</v>
      </c>
      <c r="B91" s="55" t="s">
        <v>303</v>
      </c>
      <c r="C91" s="55" t="s">
        <v>296</v>
      </c>
      <c r="D91" s="56" t="s">
        <v>29</v>
      </c>
      <c r="E91" s="55" t="s">
        <v>304</v>
      </c>
      <c r="F91" s="57">
        <v>3000</v>
      </c>
    </row>
    <row r="92" spans="1:6" ht="13.95" customHeight="1" x14ac:dyDescent="0.3">
      <c r="A92" s="48">
        <v>10</v>
      </c>
      <c r="B92" s="48" t="s">
        <v>303</v>
      </c>
      <c r="C92" s="48" t="s">
        <v>296</v>
      </c>
      <c r="D92" s="49" t="s">
        <v>29</v>
      </c>
      <c r="E92" s="48" t="s">
        <v>305</v>
      </c>
      <c r="F92" s="50">
        <v>1000</v>
      </c>
    </row>
    <row r="93" spans="1:6" ht="13.95" customHeight="1" x14ac:dyDescent="0.3">
      <c r="A93" s="55">
        <v>11</v>
      </c>
      <c r="B93" s="55" t="s">
        <v>353</v>
      </c>
      <c r="C93" s="55" t="s">
        <v>347</v>
      </c>
      <c r="D93" s="56" t="s">
        <v>29</v>
      </c>
      <c r="E93" s="55" t="s">
        <v>354</v>
      </c>
      <c r="F93" s="57">
        <v>5000</v>
      </c>
    </row>
    <row r="94" spans="1:6" ht="13.95" customHeight="1" x14ac:dyDescent="0.3">
      <c r="A94" s="48">
        <v>12</v>
      </c>
      <c r="B94" s="48" t="s">
        <v>353</v>
      </c>
      <c r="C94" s="48" t="s">
        <v>347</v>
      </c>
      <c r="D94" s="49" t="s">
        <v>29</v>
      </c>
      <c r="E94" s="48" t="s">
        <v>355</v>
      </c>
      <c r="F94" s="50">
        <v>3000</v>
      </c>
    </row>
    <row r="95" spans="1:6" ht="13.95" customHeight="1" x14ac:dyDescent="0.3">
      <c r="A95" s="55">
        <v>13</v>
      </c>
      <c r="B95" s="55" t="s">
        <v>369</v>
      </c>
      <c r="C95" s="55" t="s">
        <v>368</v>
      </c>
      <c r="D95" s="56" t="s">
        <v>29</v>
      </c>
      <c r="E95" s="55" t="s">
        <v>373</v>
      </c>
      <c r="F95" s="57">
        <v>10000</v>
      </c>
    </row>
    <row r="96" spans="1:6" ht="13.95" customHeight="1" x14ac:dyDescent="0.3">
      <c r="A96" s="48">
        <v>14</v>
      </c>
      <c r="B96" s="48" t="s">
        <v>394</v>
      </c>
      <c r="C96" s="48" t="s">
        <v>386</v>
      </c>
      <c r="D96" s="49" t="s">
        <v>29</v>
      </c>
      <c r="E96" s="48" t="s">
        <v>397</v>
      </c>
      <c r="F96" s="50">
        <v>10000</v>
      </c>
    </row>
    <row r="97" spans="1:6" ht="13.95" customHeight="1" x14ac:dyDescent="0.3">
      <c r="A97" s="55">
        <v>15</v>
      </c>
      <c r="B97" s="55" t="s">
        <v>417</v>
      </c>
      <c r="C97" s="55" t="s">
        <v>412</v>
      </c>
      <c r="D97" s="56" t="s">
        <v>29</v>
      </c>
      <c r="E97" s="55" t="s">
        <v>420</v>
      </c>
      <c r="F97" s="57">
        <v>5000</v>
      </c>
    </row>
    <row r="98" spans="1:6" ht="13.95" customHeight="1" x14ac:dyDescent="0.3">
      <c r="A98" s="48">
        <v>16</v>
      </c>
      <c r="B98" s="48" t="s">
        <v>23</v>
      </c>
      <c r="C98" s="48" t="s">
        <v>18</v>
      </c>
      <c r="D98" s="49" t="s">
        <v>29</v>
      </c>
      <c r="E98" s="48" t="s">
        <v>31</v>
      </c>
      <c r="F98" s="50">
        <v>10000</v>
      </c>
    </row>
    <row r="99" spans="1:6" ht="13.95" customHeight="1" x14ac:dyDescent="0.3">
      <c r="A99" s="55">
        <v>17</v>
      </c>
      <c r="B99" s="55" t="s">
        <v>23</v>
      </c>
      <c r="C99" s="55" t="s">
        <v>18</v>
      </c>
      <c r="D99" s="56" t="s">
        <v>29</v>
      </c>
      <c r="E99" s="55" t="s">
        <v>34</v>
      </c>
      <c r="F99" s="57">
        <v>5000</v>
      </c>
    </row>
    <row r="100" spans="1:6" ht="13.95" customHeight="1" x14ac:dyDescent="0.3">
      <c r="A100" s="48">
        <v>18</v>
      </c>
      <c r="B100" s="48" t="s">
        <v>279</v>
      </c>
      <c r="C100" s="48" t="s">
        <v>273</v>
      </c>
      <c r="D100" s="49" t="s">
        <v>29</v>
      </c>
      <c r="E100" s="48" t="s">
        <v>282</v>
      </c>
      <c r="F100" s="50">
        <v>6500</v>
      </c>
    </row>
    <row r="101" spans="1:6" ht="13.95" customHeight="1" x14ac:dyDescent="0.3">
      <c r="A101" s="55">
        <v>19</v>
      </c>
      <c r="B101" s="55" t="s">
        <v>421</v>
      </c>
      <c r="C101" s="55" t="s">
        <v>412</v>
      </c>
      <c r="D101" s="56" t="s">
        <v>29</v>
      </c>
      <c r="E101" s="55" t="s">
        <v>422</v>
      </c>
      <c r="F101" s="57">
        <v>2000</v>
      </c>
    </row>
    <row r="102" spans="1:6" ht="13.95" customHeight="1" x14ac:dyDescent="0.3">
      <c r="A102" s="48">
        <v>20</v>
      </c>
      <c r="B102" s="48" t="s">
        <v>216</v>
      </c>
      <c r="C102" s="48" t="s">
        <v>208</v>
      </c>
      <c r="D102" s="49" t="s">
        <v>29</v>
      </c>
      <c r="E102" s="48" t="s">
        <v>219</v>
      </c>
      <c r="F102" s="50">
        <v>5000</v>
      </c>
    </row>
    <row r="103" spans="1:6" ht="13.95" customHeight="1" x14ac:dyDescent="0.3">
      <c r="A103" s="55">
        <v>21</v>
      </c>
      <c r="B103" s="55" t="s">
        <v>283</v>
      </c>
      <c r="C103" s="55" t="s">
        <v>273</v>
      </c>
      <c r="D103" s="56" t="s">
        <v>29</v>
      </c>
      <c r="E103" s="55" t="s">
        <v>284</v>
      </c>
      <c r="F103" s="57">
        <v>200</v>
      </c>
    </row>
    <row r="104" spans="1:6" ht="13.95" customHeight="1" x14ac:dyDescent="0.3">
      <c r="A104" s="48">
        <v>22</v>
      </c>
      <c r="B104" s="48" t="s">
        <v>62</v>
      </c>
      <c r="C104" s="48" t="s">
        <v>18</v>
      </c>
      <c r="D104" s="49" t="s">
        <v>29</v>
      </c>
      <c r="E104" s="48" t="s">
        <v>65</v>
      </c>
      <c r="F104" s="50">
        <v>10000</v>
      </c>
    </row>
    <row r="105" spans="1:6" ht="13.95" customHeight="1" x14ac:dyDescent="0.3">
      <c r="A105" s="55">
        <v>23</v>
      </c>
      <c r="B105" s="55" t="s">
        <v>174</v>
      </c>
      <c r="C105" s="55" t="s">
        <v>153</v>
      </c>
      <c r="D105" s="56" t="s">
        <v>29</v>
      </c>
      <c r="E105" s="55" t="s">
        <v>180</v>
      </c>
      <c r="F105" s="57">
        <v>10000</v>
      </c>
    </row>
    <row r="106" spans="1:6" ht="13.95" customHeight="1" x14ac:dyDescent="0.3">
      <c r="A106" s="48">
        <v>24</v>
      </c>
      <c r="B106" s="48" t="s">
        <v>231</v>
      </c>
      <c r="C106" s="48" t="s">
        <v>208</v>
      </c>
      <c r="D106" s="49" t="s">
        <v>29</v>
      </c>
      <c r="E106" s="48" t="s">
        <v>235</v>
      </c>
      <c r="F106" s="50">
        <v>4000</v>
      </c>
    </row>
    <row r="107" spans="1:6" ht="13.95" customHeight="1" x14ac:dyDescent="0.3">
      <c r="A107" s="55">
        <v>25</v>
      </c>
      <c r="B107" s="55" t="s">
        <v>231</v>
      </c>
      <c r="C107" s="55" t="s">
        <v>208</v>
      </c>
      <c r="D107" s="56" t="s">
        <v>29</v>
      </c>
      <c r="E107" s="55" t="s">
        <v>236</v>
      </c>
      <c r="F107" s="57">
        <v>10000</v>
      </c>
    </row>
    <row r="108" spans="1:6" ht="13.95" customHeight="1" x14ac:dyDescent="0.3">
      <c r="A108" s="48">
        <v>26</v>
      </c>
      <c r="B108" s="48" t="s">
        <v>319</v>
      </c>
      <c r="C108" s="48" t="s">
        <v>296</v>
      </c>
      <c r="D108" s="49" t="s">
        <v>29</v>
      </c>
      <c r="E108" s="48" t="s">
        <v>320</v>
      </c>
      <c r="F108" s="50">
        <v>9000</v>
      </c>
    </row>
    <row r="109" spans="1:6" ht="13.95" customHeight="1" x14ac:dyDescent="0.3">
      <c r="A109" s="55">
        <v>27</v>
      </c>
      <c r="B109" s="55" t="s">
        <v>319</v>
      </c>
      <c r="C109" s="55" t="s">
        <v>296</v>
      </c>
      <c r="D109" s="56" t="s">
        <v>29</v>
      </c>
      <c r="E109" s="55" t="s">
        <v>321</v>
      </c>
      <c r="F109" s="57">
        <v>10000</v>
      </c>
    </row>
    <row r="110" spans="1:6" ht="13.95" customHeight="1" x14ac:dyDescent="0.3">
      <c r="A110" s="48">
        <v>28</v>
      </c>
      <c r="B110" s="48" t="s">
        <v>66</v>
      </c>
      <c r="C110" s="48" t="s">
        <v>18</v>
      </c>
      <c r="D110" s="49" t="s">
        <v>29</v>
      </c>
      <c r="E110" s="48" t="s">
        <v>76</v>
      </c>
      <c r="F110" s="50">
        <v>3000</v>
      </c>
    </row>
    <row r="111" spans="1:6" ht="13.95" customHeight="1" x14ac:dyDescent="0.3">
      <c r="A111" s="55">
        <v>29</v>
      </c>
      <c r="B111" s="55" t="s">
        <v>77</v>
      </c>
      <c r="C111" s="55" t="s">
        <v>18</v>
      </c>
      <c r="D111" s="56" t="s">
        <v>29</v>
      </c>
      <c r="E111" s="55" t="s">
        <v>78</v>
      </c>
      <c r="F111" s="57">
        <v>6000</v>
      </c>
    </row>
    <row r="112" spans="1:6" ht="13.95" customHeight="1" x14ac:dyDescent="0.3">
      <c r="A112" s="48">
        <v>30</v>
      </c>
      <c r="B112" s="48" t="s">
        <v>77</v>
      </c>
      <c r="C112" s="48" t="s">
        <v>18</v>
      </c>
      <c r="D112" s="49" t="s">
        <v>29</v>
      </c>
      <c r="E112" s="48" t="s">
        <v>79</v>
      </c>
      <c r="F112" s="50">
        <v>2000</v>
      </c>
    </row>
    <row r="113" spans="1:6" ht="13.95" customHeight="1" x14ac:dyDescent="0.3">
      <c r="A113" s="55">
        <v>31</v>
      </c>
      <c r="B113" s="55" t="s">
        <v>77</v>
      </c>
      <c r="C113" s="55" t="s">
        <v>18</v>
      </c>
      <c r="D113" s="56" t="s">
        <v>29</v>
      </c>
      <c r="E113" s="55" t="s">
        <v>80</v>
      </c>
      <c r="F113" s="57">
        <v>15000</v>
      </c>
    </row>
    <row r="114" spans="1:6" ht="13.95" customHeight="1" x14ac:dyDescent="0.3">
      <c r="A114" s="48">
        <v>32</v>
      </c>
      <c r="B114" s="48" t="s">
        <v>115</v>
      </c>
      <c r="C114" s="48" t="s">
        <v>98</v>
      </c>
      <c r="D114" s="49" t="s">
        <v>29</v>
      </c>
      <c r="E114" s="48" t="s">
        <v>116</v>
      </c>
      <c r="F114" s="50">
        <v>180</v>
      </c>
    </row>
    <row r="115" spans="1:6" ht="13.95" customHeight="1" x14ac:dyDescent="0.3">
      <c r="A115" s="55">
        <v>33</v>
      </c>
      <c r="B115" s="55" t="s">
        <v>117</v>
      </c>
      <c r="C115" s="55" t="s">
        <v>98</v>
      </c>
      <c r="D115" s="56" t="s">
        <v>29</v>
      </c>
      <c r="E115" s="55" t="s">
        <v>120</v>
      </c>
      <c r="F115" s="57">
        <v>154</v>
      </c>
    </row>
    <row r="116" spans="1:6" ht="13.95" customHeight="1" x14ac:dyDescent="0.3">
      <c r="A116" s="48">
        <v>34</v>
      </c>
      <c r="B116" s="48" t="s">
        <v>117</v>
      </c>
      <c r="C116" s="48" t="s">
        <v>98</v>
      </c>
      <c r="D116" s="49" t="s">
        <v>29</v>
      </c>
      <c r="E116" s="48" t="s">
        <v>121</v>
      </c>
      <c r="F116" s="50">
        <v>1000</v>
      </c>
    </row>
    <row r="117" spans="1:6" ht="13.95" customHeight="1" x14ac:dyDescent="0.3">
      <c r="A117" s="55">
        <v>35</v>
      </c>
      <c r="B117" s="55" t="s">
        <v>187</v>
      </c>
      <c r="C117" s="55" t="s">
        <v>153</v>
      </c>
      <c r="D117" s="56" t="s">
        <v>29</v>
      </c>
      <c r="E117" s="55" t="s">
        <v>188</v>
      </c>
      <c r="F117" s="57">
        <v>1000</v>
      </c>
    </row>
    <row r="118" spans="1:6" ht="13.95" customHeight="1" x14ac:dyDescent="0.3">
      <c r="A118" s="48">
        <v>36</v>
      </c>
      <c r="B118" s="48" t="s">
        <v>189</v>
      </c>
      <c r="C118" s="48" t="s">
        <v>153</v>
      </c>
      <c r="D118" s="49" t="s">
        <v>29</v>
      </c>
      <c r="E118" s="48" t="s">
        <v>190</v>
      </c>
      <c r="F118" s="50">
        <v>2000</v>
      </c>
    </row>
    <row r="119" spans="1:6" ht="13.95" customHeight="1" x14ac:dyDescent="0.3">
      <c r="A119" s="55">
        <v>37</v>
      </c>
      <c r="B119" s="55" t="s">
        <v>323</v>
      </c>
      <c r="C119" s="55" t="s">
        <v>296</v>
      </c>
      <c r="D119" s="56" t="s">
        <v>29</v>
      </c>
      <c r="E119" s="55" t="s">
        <v>324</v>
      </c>
      <c r="F119" s="57">
        <v>8000</v>
      </c>
    </row>
    <row r="120" spans="1:6" ht="13.95" customHeight="1" x14ac:dyDescent="0.3">
      <c r="A120" s="48">
        <v>38</v>
      </c>
      <c r="B120" s="48" t="s">
        <v>381</v>
      </c>
      <c r="C120" s="48" t="s">
        <v>368</v>
      </c>
      <c r="D120" s="49" t="s">
        <v>29</v>
      </c>
      <c r="E120" s="48" t="s">
        <v>382</v>
      </c>
      <c r="F120" s="50">
        <v>20000</v>
      </c>
    </row>
    <row r="121" spans="1:6" ht="13.95" customHeight="1" x14ac:dyDescent="0.3">
      <c r="A121" s="55">
        <v>39</v>
      </c>
      <c r="B121" s="55" t="s">
        <v>406</v>
      </c>
      <c r="C121" s="55" t="s">
        <v>386</v>
      </c>
      <c r="D121" s="56" t="s">
        <v>29</v>
      </c>
      <c r="E121" s="55" t="s">
        <v>407</v>
      </c>
      <c r="F121" s="57">
        <v>5000</v>
      </c>
    </row>
    <row r="122" spans="1:6" ht="13.95" customHeight="1" x14ac:dyDescent="0.3">
      <c r="A122" s="48">
        <v>40</v>
      </c>
      <c r="B122" s="48" t="s">
        <v>146</v>
      </c>
      <c r="C122" s="48" t="s">
        <v>124</v>
      </c>
      <c r="D122" s="49" t="s">
        <v>29</v>
      </c>
      <c r="E122" s="48" t="s">
        <v>149</v>
      </c>
      <c r="F122" s="50">
        <v>2000</v>
      </c>
    </row>
    <row r="123" spans="1:6" ht="13.95" customHeight="1" x14ac:dyDescent="0.3">
      <c r="A123" s="55">
        <v>41</v>
      </c>
      <c r="B123" s="55" t="s">
        <v>191</v>
      </c>
      <c r="C123" s="55" t="s">
        <v>153</v>
      </c>
      <c r="D123" s="56" t="s">
        <v>29</v>
      </c>
      <c r="E123" s="55" t="s">
        <v>192</v>
      </c>
      <c r="F123" s="57">
        <v>10000</v>
      </c>
    </row>
    <row r="124" spans="1:6" ht="13.95" customHeight="1" x14ac:dyDescent="0.3">
      <c r="A124" s="48">
        <v>42</v>
      </c>
      <c r="B124" s="48" t="s">
        <v>191</v>
      </c>
      <c r="C124" s="48" t="s">
        <v>153</v>
      </c>
      <c r="D124" s="49" t="s">
        <v>29</v>
      </c>
      <c r="E124" s="48" t="s">
        <v>193</v>
      </c>
      <c r="F124" s="50">
        <v>10000</v>
      </c>
    </row>
    <row r="125" spans="1:6" ht="13.95" customHeight="1" x14ac:dyDescent="0.3">
      <c r="A125" s="55">
        <v>43</v>
      </c>
      <c r="B125" s="55" t="s">
        <v>257</v>
      </c>
      <c r="C125" s="55" t="s">
        <v>208</v>
      </c>
      <c r="D125" s="56" t="s">
        <v>29</v>
      </c>
      <c r="E125" s="55" t="s">
        <v>258</v>
      </c>
      <c r="F125" s="57">
        <v>10000</v>
      </c>
    </row>
    <row r="126" spans="1:6" ht="13.95" customHeight="1" x14ac:dyDescent="0.3">
      <c r="A126" s="48">
        <v>44</v>
      </c>
      <c r="B126" s="48" t="s">
        <v>342</v>
      </c>
      <c r="C126" s="48" t="s">
        <v>329</v>
      </c>
      <c r="D126" s="49" t="s">
        <v>29</v>
      </c>
      <c r="E126" s="48" t="s">
        <v>343</v>
      </c>
      <c r="F126" s="50">
        <v>9000</v>
      </c>
    </row>
    <row r="127" spans="1:6" ht="13.95" customHeight="1" x14ac:dyDescent="0.3">
      <c r="A127" s="55">
        <v>45</v>
      </c>
      <c r="B127" s="55" t="s">
        <v>383</v>
      </c>
      <c r="C127" s="55" t="s">
        <v>368</v>
      </c>
      <c r="D127" s="56" t="s">
        <v>29</v>
      </c>
      <c r="E127" s="55" t="s">
        <v>384</v>
      </c>
      <c r="F127" s="57">
        <v>7000</v>
      </c>
    </row>
    <row r="128" spans="1:6" ht="13.95" customHeight="1" x14ac:dyDescent="0.3">
      <c r="A128" s="48">
        <v>46</v>
      </c>
      <c r="B128" s="48" t="s">
        <v>365</v>
      </c>
      <c r="C128" s="48" t="s">
        <v>347</v>
      </c>
      <c r="D128" s="49" t="s">
        <v>29</v>
      </c>
      <c r="E128" s="48" t="s">
        <v>366</v>
      </c>
      <c r="F128" s="50">
        <v>8500</v>
      </c>
    </row>
    <row r="129" spans="1:6" ht="13.95" customHeight="1" x14ac:dyDescent="0.3">
      <c r="A129" s="55">
        <v>47</v>
      </c>
      <c r="B129" s="55" t="s">
        <v>200</v>
      </c>
      <c r="C129" s="55" t="s">
        <v>153</v>
      </c>
      <c r="D129" s="56" t="s">
        <v>29</v>
      </c>
      <c r="E129" s="55" t="s">
        <v>206</v>
      </c>
      <c r="F129" s="57">
        <v>480</v>
      </c>
    </row>
    <row r="130" spans="1:6" ht="13.95" customHeight="1" x14ac:dyDescent="0.3">
      <c r="A130" s="48">
        <v>48</v>
      </c>
      <c r="B130" s="48" t="s">
        <v>292</v>
      </c>
      <c r="C130" s="48" t="s">
        <v>273</v>
      </c>
      <c r="D130" s="49" t="s">
        <v>29</v>
      </c>
      <c r="E130" s="48" t="s">
        <v>293</v>
      </c>
      <c r="F130" s="50">
        <v>300</v>
      </c>
    </row>
    <row r="131" spans="1:6" ht="13.95" customHeight="1" x14ac:dyDescent="0.3">
      <c r="A131" s="55">
        <v>49</v>
      </c>
      <c r="B131" s="55" t="s">
        <v>292</v>
      </c>
      <c r="C131" s="55" t="s">
        <v>273</v>
      </c>
      <c r="D131" s="56" t="s">
        <v>29</v>
      </c>
      <c r="E131" s="55" t="s">
        <v>294</v>
      </c>
      <c r="F131" s="57">
        <v>100</v>
      </c>
    </row>
    <row r="132" spans="1:6" ht="13.95" customHeight="1" x14ac:dyDescent="0.3">
      <c r="A132" s="48">
        <v>50</v>
      </c>
      <c r="B132" s="48" t="s">
        <v>409</v>
      </c>
      <c r="C132" s="48" t="s">
        <v>386</v>
      </c>
      <c r="D132" s="49" t="s">
        <v>29</v>
      </c>
      <c r="E132" s="48" t="s">
        <v>410</v>
      </c>
      <c r="F132" s="50">
        <v>2000</v>
      </c>
    </row>
    <row r="133" spans="1:6" ht="13.95" customHeight="1" x14ac:dyDescent="0.3">
      <c r="A133" s="55">
        <v>51</v>
      </c>
      <c r="B133" s="55" t="s">
        <v>326</v>
      </c>
      <c r="C133" s="55" t="s">
        <v>296</v>
      </c>
      <c r="D133" s="56" t="s">
        <v>29</v>
      </c>
      <c r="E133" s="55" t="s">
        <v>327</v>
      </c>
      <c r="F133" s="57">
        <v>1000</v>
      </c>
    </row>
    <row r="134" spans="1:6" ht="13.95" customHeight="1" x14ac:dyDescent="0.3">
      <c r="A134" s="48">
        <v>52</v>
      </c>
      <c r="B134" s="48" t="s">
        <v>344</v>
      </c>
      <c r="C134" s="48" t="s">
        <v>329</v>
      </c>
      <c r="D134" s="49" t="s">
        <v>29</v>
      </c>
      <c r="E134" s="48" t="s">
        <v>345</v>
      </c>
      <c r="F134" s="50">
        <v>1800</v>
      </c>
    </row>
    <row r="135" spans="1:6" ht="13.95" customHeight="1" x14ac:dyDescent="0.3">
      <c r="A135" s="68" t="s">
        <v>584</v>
      </c>
      <c r="B135" s="67"/>
      <c r="C135" s="67"/>
      <c r="D135" s="67"/>
      <c r="E135" s="67"/>
      <c r="F135" s="51">
        <v>272414</v>
      </c>
    </row>
    <row r="136" spans="1:6" ht="16.95" customHeight="1" x14ac:dyDescent="0.3">
      <c r="A136" s="69" t="s">
        <v>596</v>
      </c>
      <c r="B136" s="67"/>
      <c r="C136" s="67"/>
      <c r="D136" s="67"/>
      <c r="E136" s="67"/>
      <c r="F136" s="54">
        <v>43300</v>
      </c>
    </row>
    <row r="137" spans="1:6" ht="13.95" customHeight="1" x14ac:dyDescent="0.3">
      <c r="A137" s="55">
        <v>53</v>
      </c>
      <c r="B137" s="55" t="s">
        <v>99</v>
      </c>
      <c r="C137" s="55" t="s">
        <v>98</v>
      </c>
      <c r="D137" s="56" t="s">
        <v>101</v>
      </c>
      <c r="E137" s="55" t="s">
        <v>103</v>
      </c>
      <c r="F137" s="57">
        <v>3000</v>
      </c>
    </row>
    <row r="138" spans="1:6" ht="13.95" customHeight="1" x14ac:dyDescent="0.3">
      <c r="A138" s="48">
        <v>54</v>
      </c>
      <c r="B138" s="48" t="s">
        <v>297</v>
      </c>
      <c r="C138" s="48" t="s">
        <v>296</v>
      </c>
      <c r="D138" s="49" t="s">
        <v>301</v>
      </c>
      <c r="E138" s="48" t="s">
        <v>302</v>
      </c>
      <c r="F138" s="50">
        <v>4000</v>
      </c>
    </row>
    <row r="139" spans="1:6" ht="13.95" customHeight="1" x14ac:dyDescent="0.3">
      <c r="A139" s="55">
        <v>55</v>
      </c>
      <c r="B139" s="55" t="s">
        <v>157</v>
      </c>
      <c r="C139" s="55" t="s">
        <v>153</v>
      </c>
      <c r="D139" s="56" t="s">
        <v>159</v>
      </c>
      <c r="E139" s="55" t="s">
        <v>160</v>
      </c>
      <c r="F139" s="57">
        <v>5000</v>
      </c>
    </row>
    <row r="140" spans="1:6" ht="13.95" customHeight="1" x14ac:dyDescent="0.3">
      <c r="A140" s="48">
        <v>56</v>
      </c>
      <c r="B140" s="48" t="s">
        <v>353</v>
      </c>
      <c r="C140" s="48" t="s">
        <v>347</v>
      </c>
      <c r="D140" s="49" t="s">
        <v>356</v>
      </c>
      <c r="E140" s="48" t="s">
        <v>357</v>
      </c>
      <c r="F140" s="50">
        <v>5000</v>
      </c>
    </row>
    <row r="141" spans="1:6" ht="13.95" customHeight="1" x14ac:dyDescent="0.3">
      <c r="A141" s="55">
        <v>57</v>
      </c>
      <c r="B141" s="55" t="s">
        <v>391</v>
      </c>
      <c r="C141" s="55" t="s">
        <v>386</v>
      </c>
      <c r="D141" s="56" t="s">
        <v>392</v>
      </c>
      <c r="E141" s="55" t="s">
        <v>393</v>
      </c>
      <c r="F141" s="57">
        <v>4500</v>
      </c>
    </row>
    <row r="142" spans="1:6" ht="13.95" customHeight="1" x14ac:dyDescent="0.3">
      <c r="A142" s="48">
        <v>58</v>
      </c>
      <c r="B142" s="48" t="s">
        <v>330</v>
      </c>
      <c r="C142" s="48" t="s">
        <v>329</v>
      </c>
      <c r="D142" s="49" t="s">
        <v>332</v>
      </c>
      <c r="E142" s="48" t="s">
        <v>333</v>
      </c>
      <c r="F142" s="50">
        <v>4500</v>
      </c>
    </row>
    <row r="143" spans="1:6" ht="13.95" customHeight="1" x14ac:dyDescent="0.3">
      <c r="A143" s="55">
        <v>59</v>
      </c>
      <c r="B143" s="55" t="s">
        <v>369</v>
      </c>
      <c r="C143" s="55" t="s">
        <v>368</v>
      </c>
      <c r="D143" s="56" t="s">
        <v>374</v>
      </c>
      <c r="E143" s="55" t="s">
        <v>375</v>
      </c>
      <c r="F143" s="57">
        <v>5000</v>
      </c>
    </row>
    <row r="144" spans="1:6" ht="13.95" customHeight="1" x14ac:dyDescent="0.3">
      <c r="A144" s="48">
        <v>60</v>
      </c>
      <c r="B144" s="48" t="s">
        <v>417</v>
      </c>
      <c r="C144" s="48" t="s">
        <v>412</v>
      </c>
      <c r="D144" s="49" t="s">
        <v>418</v>
      </c>
      <c r="E144" s="48" t="s">
        <v>419</v>
      </c>
      <c r="F144" s="50">
        <v>4000</v>
      </c>
    </row>
    <row r="145" spans="1:6" ht="13.95" customHeight="1" x14ac:dyDescent="0.3">
      <c r="A145" s="55">
        <v>61</v>
      </c>
      <c r="B145" s="55" t="s">
        <v>209</v>
      </c>
      <c r="C145" s="55" t="s">
        <v>208</v>
      </c>
      <c r="D145" s="56" t="s">
        <v>212</v>
      </c>
      <c r="E145" s="55" t="s">
        <v>213</v>
      </c>
      <c r="F145" s="57">
        <v>4000</v>
      </c>
    </row>
    <row r="146" spans="1:6" ht="13.95" customHeight="1" x14ac:dyDescent="0.3">
      <c r="A146" s="48">
        <v>62</v>
      </c>
      <c r="B146" s="48" t="s">
        <v>209</v>
      </c>
      <c r="C146" s="48" t="s">
        <v>208</v>
      </c>
      <c r="D146" s="49" t="s">
        <v>214</v>
      </c>
      <c r="E146" s="48" t="s">
        <v>215</v>
      </c>
      <c r="F146" s="50">
        <v>300</v>
      </c>
    </row>
    <row r="147" spans="1:6" ht="13.95" customHeight="1" x14ac:dyDescent="0.3">
      <c r="A147" s="55">
        <v>63</v>
      </c>
      <c r="B147" s="55" t="s">
        <v>279</v>
      </c>
      <c r="C147" s="55" t="s">
        <v>273</v>
      </c>
      <c r="D147" s="56" t="s">
        <v>280</v>
      </c>
      <c r="E147" s="55" t="s">
        <v>281</v>
      </c>
      <c r="F147" s="57">
        <v>4000</v>
      </c>
    </row>
    <row r="148" spans="1:6" ht="13.95" customHeight="1" x14ac:dyDescent="0.3">
      <c r="A148" s="68" t="s">
        <v>597</v>
      </c>
      <c r="B148" s="67"/>
      <c r="C148" s="67"/>
      <c r="D148" s="67"/>
      <c r="E148" s="67"/>
      <c r="F148" s="51">
        <v>43300</v>
      </c>
    </row>
    <row r="149" spans="1:6" ht="16.95" customHeight="1" x14ac:dyDescent="0.3">
      <c r="A149" s="69" t="s">
        <v>598</v>
      </c>
      <c r="B149" s="67"/>
      <c r="C149" s="67"/>
      <c r="D149" s="67"/>
      <c r="E149" s="67"/>
      <c r="F149" s="54">
        <v>42276</v>
      </c>
    </row>
    <row r="150" spans="1:6" ht="13.95" customHeight="1" x14ac:dyDescent="0.3">
      <c r="A150" s="55">
        <v>64</v>
      </c>
      <c r="B150" s="55" t="s">
        <v>66</v>
      </c>
      <c r="C150" s="55" t="s">
        <v>18</v>
      </c>
      <c r="D150" s="56" t="s">
        <v>72</v>
      </c>
      <c r="E150" s="55" t="s">
        <v>74</v>
      </c>
      <c r="F150" s="57">
        <v>1561</v>
      </c>
    </row>
    <row r="151" spans="1:6" ht="13.95" customHeight="1" x14ac:dyDescent="0.3">
      <c r="A151" s="48">
        <v>65</v>
      </c>
      <c r="B151" s="48" t="s">
        <v>114</v>
      </c>
      <c r="C151" s="48" t="s">
        <v>98</v>
      </c>
      <c r="D151" s="49" t="s">
        <v>72</v>
      </c>
      <c r="E151" s="48" t="s">
        <v>74</v>
      </c>
      <c r="F151" s="50">
        <v>1561</v>
      </c>
    </row>
    <row r="152" spans="1:6" ht="13.95" customHeight="1" x14ac:dyDescent="0.3">
      <c r="A152" s="55">
        <v>66</v>
      </c>
      <c r="B152" s="55" t="s">
        <v>138</v>
      </c>
      <c r="C152" s="55" t="s">
        <v>124</v>
      </c>
      <c r="D152" s="56" t="s">
        <v>72</v>
      </c>
      <c r="E152" s="55" t="s">
        <v>74</v>
      </c>
      <c r="F152" s="57">
        <v>1561</v>
      </c>
    </row>
    <row r="153" spans="1:6" ht="13.95" customHeight="1" x14ac:dyDescent="0.3">
      <c r="A153" s="48">
        <v>67</v>
      </c>
      <c r="B153" s="48" t="s">
        <v>184</v>
      </c>
      <c r="C153" s="48" t="s">
        <v>153</v>
      </c>
      <c r="D153" s="49" t="s">
        <v>72</v>
      </c>
      <c r="E153" s="48" t="s">
        <v>74</v>
      </c>
      <c r="F153" s="50">
        <v>1561</v>
      </c>
    </row>
    <row r="154" spans="1:6" ht="13.95" customHeight="1" x14ac:dyDescent="0.3">
      <c r="A154" s="55">
        <v>68</v>
      </c>
      <c r="B154" s="55" t="s">
        <v>241</v>
      </c>
      <c r="C154" s="55" t="s">
        <v>208</v>
      </c>
      <c r="D154" s="56" t="s">
        <v>72</v>
      </c>
      <c r="E154" s="55" t="s">
        <v>74</v>
      </c>
      <c r="F154" s="57">
        <v>1561</v>
      </c>
    </row>
    <row r="155" spans="1:6" ht="13.95" customHeight="1" x14ac:dyDescent="0.3">
      <c r="A155" s="48">
        <v>69</v>
      </c>
      <c r="B155" s="48" t="s">
        <v>287</v>
      </c>
      <c r="C155" s="48" t="s">
        <v>273</v>
      </c>
      <c r="D155" s="49" t="s">
        <v>72</v>
      </c>
      <c r="E155" s="48" t="s">
        <v>74</v>
      </c>
      <c r="F155" s="50">
        <v>1561</v>
      </c>
    </row>
    <row r="156" spans="1:6" ht="13.95" customHeight="1" x14ac:dyDescent="0.3">
      <c r="A156" s="55">
        <v>70</v>
      </c>
      <c r="B156" s="55" t="s">
        <v>322</v>
      </c>
      <c r="C156" s="55" t="s">
        <v>296</v>
      </c>
      <c r="D156" s="56" t="s">
        <v>72</v>
      </c>
      <c r="E156" s="55" t="s">
        <v>74</v>
      </c>
      <c r="F156" s="57">
        <v>1561</v>
      </c>
    </row>
    <row r="157" spans="1:6" ht="13.95" customHeight="1" x14ac:dyDescent="0.3">
      <c r="A157" s="48">
        <v>71</v>
      </c>
      <c r="B157" s="48" t="s">
        <v>341</v>
      </c>
      <c r="C157" s="48" t="s">
        <v>329</v>
      </c>
      <c r="D157" s="49" t="s">
        <v>72</v>
      </c>
      <c r="E157" s="48" t="s">
        <v>74</v>
      </c>
      <c r="F157" s="50">
        <v>1561</v>
      </c>
    </row>
    <row r="158" spans="1:6" ht="13.95" customHeight="1" x14ac:dyDescent="0.3">
      <c r="A158" s="55">
        <v>72</v>
      </c>
      <c r="B158" s="55" t="s">
        <v>362</v>
      </c>
      <c r="C158" s="55" t="s">
        <v>347</v>
      </c>
      <c r="D158" s="56" t="s">
        <v>72</v>
      </c>
      <c r="E158" s="55" t="s">
        <v>74</v>
      </c>
      <c r="F158" s="57">
        <v>1561</v>
      </c>
    </row>
    <row r="159" spans="1:6" ht="13.95" customHeight="1" x14ac:dyDescent="0.3">
      <c r="A159" s="48">
        <v>73</v>
      </c>
      <c r="B159" s="48" t="s">
        <v>380</v>
      </c>
      <c r="C159" s="48" t="s">
        <v>368</v>
      </c>
      <c r="D159" s="49" t="s">
        <v>72</v>
      </c>
      <c r="E159" s="48" t="s">
        <v>74</v>
      </c>
      <c r="F159" s="50">
        <v>1561</v>
      </c>
    </row>
    <row r="160" spans="1:6" ht="13.95" customHeight="1" x14ac:dyDescent="0.3">
      <c r="A160" s="55">
        <v>74</v>
      </c>
      <c r="B160" s="55" t="s">
        <v>405</v>
      </c>
      <c r="C160" s="55" t="s">
        <v>386</v>
      </c>
      <c r="D160" s="56" t="s">
        <v>72</v>
      </c>
      <c r="E160" s="55" t="s">
        <v>74</v>
      </c>
      <c r="F160" s="57">
        <v>1561</v>
      </c>
    </row>
    <row r="161" spans="1:6" ht="13.95" customHeight="1" x14ac:dyDescent="0.3">
      <c r="A161" s="48">
        <v>75</v>
      </c>
      <c r="B161" s="48" t="s">
        <v>427</v>
      </c>
      <c r="C161" s="48" t="s">
        <v>412</v>
      </c>
      <c r="D161" s="49" t="s">
        <v>72</v>
      </c>
      <c r="E161" s="48" t="s">
        <v>74</v>
      </c>
      <c r="F161" s="50">
        <v>1561</v>
      </c>
    </row>
    <row r="162" spans="1:6" ht="13.95" customHeight="1" x14ac:dyDescent="0.3">
      <c r="A162" s="55">
        <v>76</v>
      </c>
      <c r="B162" s="55" t="s">
        <v>96</v>
      </c>
      <c r="C162" s="55" t="s">
        <v>18</v>
      </c>
      <c r="D162" s="56" t="s">
        <v>72</v>
      </c>
      <c r="E162" s="55" t="s">
        <v>74</v>
      </c>
      <c r="F162" s="57">
        <v>1962</v>
      </c>
    </row>
    <row r="163" spans="1:6" ht="13.95" customHeight="1" x14ac:dyDescent="0.3">
      <c r="A163" s="48">
        <v>77</v>
      </c>
      <c r="B163" s="48" t="s">
        <v>122</v>
      </c>
      <c r="C163" s="48" t="s">
        <v>98</v>
      </c>
      <c r="D163" s="49" t="s">
        <v>72</v>
      </c>
      <c r="E163" s="48" t="s">
        <v>74</v>
      </c>
      <c r="F163" s="50">
        <v>1962</v>
      </c>
    </row>
    <row r="164" spans="1:6" ht="13.95" customHeight="1" x14ac:dyDescent="0.3">
      <c r="A164" s="55">
        <v>78</v>
      </c>
      <c r="B164" s="55" t="s">
        <v>150</v>
      </c>
      <c r="C164" s="55" t="s">
        <v>124</v>
      </c>
      <c r="D164" s="56" t="s">
        <v>72</v>
      </c>
      <c r="E164" s="55" t="s">
        <v>74</v>
      </c>
      <c r="F164" s="57">
        <v>1962</v>
      </c>
    </row>
    <row r="165" spans="1:6" ht="13.95" customHeight="1" x14ac:dyDescent="0.3">
      <c r="A165" s="48">
        <v>79</v>
      </c>
      <c r="B165" s="48" t="s">
        <v>194</v>
      </c>
      <c r="C165" s="48" t="s">
        <v>153</v>
      </c>
      <c r="D165" s="49" t="s">
        <v>72</v>
      </c>
      <c r="E165" s="48" t="s">
        <v>74</v>
      </c>
      <c r="F165" s="50">
        <v>1962</v>
      </c>
    </row>
    <row r="166" spans="1:6" ht="13.95" customHeight="1" x14ac:dyDescent="0.3">
      <c r="A166" s="55">
        <v>80</v>
      </c>
      <c r="B166" s="55" t="s">
        <v>259</v>
      </c>
      <c r="C166" s="55" t="s">
        <v>208</v>
      </c>
      <c r="D166" s="56" t="s">
        <v>72</v>
      </c>
      <c r="E166" s="55" t="s">
        <v>74</v>
      </c>
      <c r="F166" s="57">
        <v>1962</v>
      </c>
    </row>
    <row r="167" spans="1:6" ht="13.95" customHeight="1" x14ac:dyDescent="0.3">
      <c r="A167" s="48">
        <v>81</v>
      </c>
      <c r="B167" s="48" t="s">
        <v>291</v>
      </c>
      <c r="C167" s="48" t="s">
        <v>273</v>
      </c>
      <c r="D167" s="49" t="s">
        <v>72</v>
      </c>
      <c r="E167" s="48" t="s">
        <v>74</v>
      </c>
      <c r="F167" s="50">
        <v>1962</v>
      </c>
    </row>
    <row r="168" spans="1:6" ht="13.95" customHeight="1" x14ac:dyDescent="0.3">
      <c r="A168" s="55">
        <v>82</v>
      </c>
      <c r="B168" s="55" t="s">
        <v>325</v>
      </c>
      <c r="C168" s="55" t="s">
        <v>296</v>
      </c>
      <c r="D168" s="56" t="s">
        <v>72</v>
      </c>
      <c r="E168" s="55" t="s">
        <v>74</v>
      </c>
      <c r="F168" s="57">
        <v>1962</v>
      </c>
    </row>
    <row r="169" spans="1:6" ht="13.95" customHeight="1" x14ac:dyDescent="0.3">
      <c r="A169" s="48">
        <v>83</v>
      </c>
      <c r="B169" s="48" t="s">
        <v>342</v>
      </c>
      <c r="C169" s="48" t="s">
        <v>329</v>
      </c>
      <c r="D169" s="49" t="s">
        <v>72</v>
      </c>
      <c r="E169" s="48" t="s">
        <v>74</v>
      </c>
      <c r="F169" s="50">
        <v>1962</v>
      </c>
    </row>
    <row r="170" spans="1:6" ht="13.95" customHeight="1" x14ac:dyDescent="0.3">
      <c r="A170" s="55">
        <v>84</v>
      </c>
      <c r="B170" s="55" t="s">
        <v>364</v>
      </c>
      <c r="C170" s="55" t="s">
        <v>347</v>
      </c>
      <c r="D170" s="56" t="s">
        <v>72</v>
      </c>
      <c r="E170" s="55" t="s">
        <v>74</v>
      </c>
      <c r="F170" s="57">
        <v>1962</v>
      </c>
    </row>
    <row r="171" spans="1:6" ht="13.95" customHeight="1" x14ac:dyDescent="0.3">
      <c r="A171" s="48">
        <v>85</v>
      </c>
      <c r="B171" s="48" t="s">
        <v>383</v>
      </c>
      <c r="C171" s="48" t="s">
        <v>368</v>
      </c>
      <c r="D171" s="49" t="s">
        <v>72</v>
      </c>
      <c r="E171" s="48" t="s">
        <v>74</v>
      </c>
      <c r="F171" s="50">
        <v>1962</v>
      </c>
    </row>
    <row r="172" spans="1:6" ht="13.95" customHeight="1" x14ac:dyDescent="0.3">
      <c r="A172" s="55">
        <v>86</v>
      </c>
      <c r="B172" s="55" t="s">
        <v>408</v>
      </c>
      <c r="C172" s="55" t="s">
        <v>386</v>
      </c>
      <c r="D172" s="56" t="s">
        <v>72</v>
      </c>
      <c r="E172" s="55" t="s">
        <v>74</v>
      </c>
      <c r="F172" s="57">
        <v>1962</v>
      </c>
    </row>
    <row r="173" spans="1:6" ht="13.95" customHeight="1" x14ac:dyDescent="0.3">
      <c r="A173" s="48">
        <v>87</v>
      </c>
      <c r="B173" s="48" t="s">
        <v>430</v>
      </c>
      <c r="C173" s="48" t="s">
        <v>412</v>
      </c>
      <c r="D173" s="49" t="s">
        <v>72</v>
      </c>
      <c r="E173" s="48" t="s">
        <v>74</v>
      </c>
      <c r="F173" s="50">
        <v>1962</v>
      </c>
    </row>
    <row r="174" spans="1:6" ht="13.95" customHeight="1" x14ac:dyDescent="0.3">
      <c r="A174" s="68" t="s">
        <v>599</v>
      </c>
      <c r="B174" s="67"/>
      <c r="C174" s="67"/>
      <c r="D174" s="67"/>
      <c r="E174" s="67"/>
      <c r="F174" s="51">
        <v>42276</v>
      </c>
    </row>
    <row r="175" spans="1:6" ht="16.95" customHeight="1" x14ac:dyDescent="0.3">
      <c r="A175" s="69" t="s">
        <v>600</v>
      </c>
      <c r="B175" s="67"/>
      <c r="C175" s="67"/>
      <c r="D175" s="67"/>
      <c r="E175" s="67"/>
      <c r="F175" s="54">
        <v>11160</v>
      </c>
    </row>
    <row r="176" spans="1:6" ht="13.95" customHeight="1" x14ac:dyDescent="0.3">
      <c r="A176" s="55">
        <v>88</v>
      </c>
      <c r="B176" s="55" t="s">
        <v>17</v>
      </c>
      <c r="C176" s="55" t="s">
        <v>18</v>
      </c>
      <c r="D176" s="56" t="s">
        <v>19</v>
      </c>
      <c r="E176" s="55" t="s">
        <v>21</v>
      </c>
      <c r="F176" s="57">
        <v>930</v>
      </c>
    </row>
    <row r="177" spans="1:6" ht="13.95" customHeight="1" x14ac:dyDescent="0.3">
      <c r="A177" s="48">
        <v>89</v>
      </c>
      <c r="B177" s="48" t="s">
        <v>97</v>
      </c>
      <c r="C177" s="48" t="s">
        <v>98</v>
      </c>
      <c r="D177" s="49" t="s">
        <v>19</v>
      </c>
      <c r="E177" s="48" t="s">
        <v>21</v>
      </c>
      <c r="F177" s="50">
        <v>930</v>
      </c>
    </row>
    <row r="178" spans="1:6" ht="13.95" customHeight="1" x14ac:dyDescent="0.3">
      <c r="A178" s="55">
        <v>90</v>
      </c>
      <c r="B178" s="55" t="s">
        <v>123</v>
      </c>
      <c r="C178" s="55" t="s">
        <v>124</v>
      </c>
      <c r="D178" s="56" t="s">
        <v>19</v>
      </c>
      <c r="E178" s="55" t="s">
        <v>21</v>
      </c>
      <c r="F178" s="57">
        <v>930</v>
      </c>
    </row>
    <row r="179" spans="1:6" ht="13.95" customHeight="1" x14ac:dyDescent="0.3">
      <c r="A179" s="48">
        <v>91</v>
      </c>
      <c r="B179" s="48" t="s">
        <v>152</v>
      </c>
      <c r="C179" s="48" t="s">
        <v>153</v>
      </c>
      <c r="D179" s="49" t="s">
        <v>19</v>
      </c>
      <c r="E179" s="48" t="s">
        <v>21</v>
      </c>
      <c r="F179" s="50">
        <v>930</v>
      </c>
    </row>
    <row r="180" spans="1:6" ht="13.95" customHeight="1" x14ac:dyDescent="0.3">
      <c r="A180" s="55">
        <v>92</v>
      </c>
      <c r="B180" s="55" t="s">
        <v>207</v>
      </c>
      <c r="C180" s="55" t="s">
        <v>208</v>
      </c>
      <c r="D180" s="56" t="s">
        <v>19</v>
      </c>
      <c r="E180" s="55" t="s">
        <v>21</v>
      </c>
      <c r="F180" s="57">
        <v>930</v>
      </c>
    </row>
    <row r="181" spans="1:6" ht="13.95" customHeight="1" x14ac:dyDescent="0.3">
      <c r="A181" s="48">
        <v>93</v>
      </c>
      <c r="B181" s="48" t="s">
        <v>272</v>
      </c>
      <c r="C181" s="48" t="s">
        <v>273</v>
      </c>
      <c r="D181" s="49" t="s">
        <v>19</v>
      </c>
      <c r="E181" s="48" t="s">
        <v>21</v>
      </c>
      <c r="F181" s="50">
        <v>930</v>
      </c>
    </row>
    <row r="182" spans="1:6" ht="13.95" customHeight="1" x14ac:dyDescent="0.3">
      <c r="A182" s="55">
        <v>94</v>
      </c>
      <c r="B182" s="55" t="s">
        <v>295</v>
      </c>
      <c r="C182" s="55" t="s">
        <v>296</v>
      </c>
      <c r="D182" s="56" t="s">
        <v>19</v>
      </c>
      <c r="E182" s="55" t="s">
        <v>21</v>
      </c>
      <c r="F182" s="57">
        <v>930</v>
      </c>
    </row>
    <row r="183" spans="1:6" ht="13.95" customHeight="1" x14ac:dyDescent="0.3">
      <c r="A183" s="48">
        <v>95</v>
      </c>
      <c r="B183" s="48" t="s">
        <v>328</v>
      </c>
      <c r="C183" s="48" t="s">
        <v>329</v>
      </c>
      <c r="D183" s="49" t="s">
        <v>19</v>
      </c>
      <c r="E183" s="48" t="s">
        <v>21</v>
      </c>
      <c r="F183" s="50">
        <v>930</v>
      </c>
    </row>
    <row r="184" spans="1:6" ht="13.95" customHeight="1" x14ac:dyDescent="0.3">
      <c r="A184" s="55">
        <v>96</v>
      </c>
      <c r="B184" s="55" t="s">
        <v>346</v>
      </c>
      <c r="C184" s="55" t="s">
        <v>347</v>
      </c>
      <c r="D184" s="56" t="s">
        <v>19</v>
      </c>
      <c r="E184" s="55" t="s">
        <v>21</v>
      </c>
      <c r="F184" s="57">
        <v>930</v>
      </c>
    </row>
    <row r="185" spans="1:6" ht="13.95" customHeight="1" x14ac:dyDescent="0.3">
      <c r="A185" s="48">
        <v>97</v>
      </c>
      <c r="B185" s="48" t="s">
        <v>367</v>
      </c>
      <c r="C185" s="48" t="s">
        <v>368</v>
      </c>
      <c r="D185" s="49" t="s">
        <v>19</v>
      </c>
      <c r="E185" s="48" t="s">
        <v>21</v>
      </c>
      <c r="F185" s="50">
        <v>930</v>
      </c>
    </row>
    <row r="186" spans="1:6" ht="13.95" customHeight="1" x14ac:dyDescent="0.3">
      <c r="A186" s="55">
        <v>98</v>
      </c>
      <c r="B186" s="55" t="s">
        <v>385</v>
      </c>
      <c r="C186" s="55" t="s">
        <v>386</v>
      </c>
      <c r="D186" s="56" t="s">
        <v>19</v>
      </c>
      <c r="E186" s="55" t="s">
        <v>21</v>
      </c>
      <c r="F186" s="57">
        <v>930</v>
      </c>
    </row>
    <row r="187" spans="1:6" ht="13.95" customHeight="1" x14ac:dyDescent="0.3">
      <c r="A187" s="48">
        <v>99</v>
      </c>
      <c r="B187" s="48" t="s">
        <v>411</v>
      </c>
      <c r="C187" s="48" t="s">
        <v>412</v>
      </c>
      <c r="D187" s="49" t="s">
        <v>19</v>
      </c>
      <c r="E187" s="48" t="s">
        <v>21</v>
      </c>
      <c r="F187" s="50">
        <v>930</v>
      </c>
    </row>
    <row r="188" spans="1:6" ht="13.95" customHeight="1" x14ac:dyDescent="0.3">
      <c r="A188" s="68" t="s">
        <v>601</v>
      </c>
      <c r="B188" s="67"/>
      <c r="C188" s="67"/>
      <c r="D188" s="67"/>
      <c r="E188" s="67"/>
      <c r="F188" s="51">
        <v>11160</v>
      </c>
    </row>
    <row r="189" spans="1:6" ht="16.95" customHeight="1" x14ac:dyDescent="0.3">
      <c r="A189" s="69" t="s">
        <v>602</v>
      </c>
      <c r="B189" s="67"/>
      <c r="C189" s="67"/>
      <c r="D189" s="67"/>
      <c r="E189" s="67"/>
      <c r="F189" s="54">
        <v>10865</v>
      </c>
    </row>
    <row r="190" spans="1:6" ht="13.95" customHeight="1" x14ac:dyDescent="0.3">
      <c r="A190" s="55">
        <v>100</v>
      </c>
      <c r="B190" s="55" t="s">
        <v>174</v>
      </c>
      <c r="C190" s="55" t="s">
        <v>153</v>
      </c>
      <c r="D190" s="56" t="s">
        <v>181</v>
      </c>
      <c r="E190" s="55" t="s">
        <v>183</v>
      </c>
      <c r="F190" s="57">
        <v>3877</v>
      </c>
    </row>
    <row r="191" spans="1:6" ht="13.95" customHeight="1" x14ac:dyDescent="0.3">
      <c r="A191" s="48">
        <v>101</v>
      </c>
      <c r="B191" s="48" t="s">
        <v>237</v>
      </c>
      <c r="C191" s="48" t="s">
        <v>208</v>
      </c>
      <c r="D191" s="49" t="s">
        <v>239</v>
      </c>
      <c r="E191" s="48" t="s">
        <v>240</v>
      </c>
      <c r="F191" s="50">
        <v>6988</v>
      </c>
    </row>
    <row r="192" spans="1:6" ht="13.95" customHeight="1" x14ac:dyDescent="0.3">
      <c r="A192" s="68" t="s">
        <v>603</v>
      </c>
      <c r="B192" s="67"/>
      <c r="C192" s="67"/>
      <c r="D192" s="67"/>
      <c r="E192" s="67"/>
      <c r="F192" s="51">
        <v>10865</v>
      </c>
    </row>
    <row r="193" spans="1:6" ht="16.95" customHeight="1" x14ac:dyDescent="0.3">
      <c r="A193" s="69" t="s">
        <v>604</v>
      </c>
      <c r="B193" s="67"/>
      <c r="C193" s="67"/>
      <c r="D193" s="67"/>
      <c r="E193" s="67"/>
      <c r="F193" s="54">
        <v>10500</v>
      </c>
    </row>
    <row r="194" spans="1:6" ht="13.95" customHeight="1" x14ac:dyDescent="0.3">
      <c r="A194" s="55">
        <v>102</v>
      </c>
      <c r="B194" s="55" t="s">
        <v>125</v>
      </c>
      <c r="C194" s="55" t="s">
        <v>124</v>
      </c>
      <c r="D194" s="56" t="s">
        <v>29</v>
      </c>
      <c r="E194" s="55" t="s">
        <v>129</v>
      </c>
      <c r="F194" s="57">
        <v>6000</v>
      </c>
    </row>
    <row r="195" spans="1:6" ht="13.95" customHeight="1" x14ac:dyDescent="0.3">
      <c r="A195" s="48">
        <v>103</v>
      </c>
      <c r="B195" s="48" t="s">
        <v>132</v>
      </c>
      <c r="C195" s="48" t="s">
        <v>124</v>
      </c>
      <c r="D195" s="49" t="s">
        <v>29</v>
      </c>
      <c r="E195" s="48" t="s">
        <v>133</v>
      </c>
      <c r="F195" s="50">
        <v>4000</v>
      </c>
    </row>
    <row r="196" spans="1:6" ht="13.95" customHeight="1" x14ac:dyDescent="0.3">
      <c r="A196" s="55">
        <v>104</v>
      </c>
      <c r="B196" s="55" t="s">
        <v>194</v>
      </c>
      <c r="C196" s="55" t="s">
        <v>153</v>
      </c>
      <c r="D196" s="56" t="s">
        <v>195</v>
      </c>
      <c r="E196" s="55" t="s">
        <v>196</v>
      </c>
      <c r="F196" s="57">
        <v>500</v>
      </c>
    </row>
    <row r="197" spans="1:6" ht="13.95" customHeight="1" x14ac:dyDescent="0.3">
      <c r="A197" s="68" t="s">
        <v>586</v>
      </c>
      <c r="B197" s="67"/>
      <c r="C197" s="67"/>
      <c r="D197" s="67"/>
      <c r="E197" s="67"/>
      <c r="F197" s="51">
        <v>10500</v>
      </c>
    </row>
    <row r="198" spans="1:6" ht="16.95" customHeight="1" x14ac:dyDescent="0.3">
      <c r="A198" s="69" t="s">
        <v>589</v>
      </c>
      <c r="B198" s="67"/>
      <c r="C198" s="67"/>
      <c r="D198" s="67"/>
      <c r="E198" s="67"/>
      <c r="F198" s="54">
        <v>10000</v>
      </c>
    </row>
    <row r="199" spans="1:6" ht="13.95" customHeight="1" x14ac:dyDescent="0.3">
      <c r="A199" s="55">
        <v>105</v>
      </c>
      <c r="B199" s="55" t="s">
        <v>311</v>
      </c>
      <c r="C199" s="55" t="s">
        <v>296</v>
      </c>
      <c r="D199" s="56" t="s">
        <v>314</v>
      </c>
      <c r="E199" s="55" t="s">
        <v>316</v>
      </c>
      <c r="F199" s="57">
        <v>10000</v>
      </c>
    </row>
    <row r="200" spans="1:6" ht="13.95" customHeight="1" x14ac:dyDescent="0.3">
      <c r="A200" s="68" t="s">
        <v>590</v>
      </c>
      <c r="B200" s="67"/>
      <c r="C200" s="67"/>
      <c r="D200" s="67"/>
      <c r="E200" s="67"/>
      <c r="F200" s="51">
        <v>10000</v>
      </c>
    </row>
    <row r="201" spans="1:6" ht="16.95" customHeight="1" x14ac:dyDescent="0.3">
      <c r="A201" s="69" t="s">
        <v>605</v>
      </c>
      <c r="B201" s="67"/>
      <c r="C201" s="67"/>
      <c r="D201" s="67"/>
      <c r="E201" s="67"/>
      <c r="F201" s="54">
        <v>8964</v>
      </c>
    </row>
    <row r="202" spans="1:6" ht="13.95" customHeight="1" x14ac:dyDescent="0.3">
      <c r="A202" s="55">
        <v>106</v>
      </c>
      <c r="B202" s="55" t="s">
        <v>311</v>
      </c>
      <c r="C202" s="55" t="s">
        <v>296</v>
      </c>
      <c r="D202" s="56" t="s">
        <v>312</v>
      </c>
      <c r="E202" s="55" t="s">
        <v>313</v>
      </c>
      <c r="F202" s="57">
        <v>4482</v>
      </c>
    </row>
    <row r="203" spans="1:6" ht="13.95" customHeight="1" x14ac:dyDescent="0.3">
      <c r="A203" s="48">
        <v>107</v>
      </c>
      <c r="B203" s="48" t="s">
        <v>81</v>
      </c>
      <c r="C203" s="48" t="s">
        <v>18</v>
      </c>
      <c r="D203" s="49" t="s">
        <v>91</v>
      </c>
      <c r="E203" s="48" t="s">
        <v>93</v>
      </c>
      <c r="F203" s="50">
        <v>4482</v>
      </c>
    </row>
    <row r="204" spans="1:6" ht="13.95" customHeight="1" x14ac:dyDescent="0.3">
      <c r="A204" s="68" t="s">
        <v>606</v>
      </c>
      <c r="B204" s="67"/>
      <c r="C204" s="67"/>
      <c r="D204" s="67"/>
      <c r="E204" s="67"/>
      <c r="F204" s="51">
        <v>8964</v>
      </c>
    </row>
    <row r="205" spans="1:6" ht="16.95" customHeight="1" x14ac:dyDescent="0.3">
      <c r="A205" s="69" t="s">
        <v>607</v>
      </c>
      <c r="B205" s="67"/>
      <c r="C205" s="67"/>
      <c r="D205" s="67"/>
      <c r="E205" s="67"/>
      <c r="F205" s="54">
        <v>7636.74</v>
      </c>
    </row>
    <row r="206" spans="1:6" ht="13.95" customHeight="1" x14ac:dyDescent="0.3">
      <c r="A206" s="55">
        <v>108</v>
      </c>
      <c r="B206" s="55" t="s">
        <v>306</v>
      </c>
      <c r="C206" s="55" t="s">
        <v>296</v>
      </c>
      <c r="D206" s="56" t="s">
        <v>248</v>
      </c>
      <c r="E206" s="55" t="s">
        <v>307</v>
      </c>
      <c r="F206" s="57">
        <v>595</v>
      </c>
    </row>
    <row r="207" spans="1:6" ht="13.95" customHeight="1" x14ac:dyDescent="0.3">
      <c r="A207" s="48">
        <v>109</v>
      </c>
      <c r="B207" s="48" t="s">
        <v>224</v>
      </c>
      <c r="C207" s="48" t="s">
        <v>208</v>
      </c>
      <c r="D207" s="49" t="s">
        <v>226</v>
      </c>
      <c r="E207" s="48" t="s">
        <v>228</v>
      </c>
      <c r="F207" s="50">
        <v>6000</v>
      </c>
    </row>
    <row r="208" spans="1:6" ht="13.95" customHeight="1" x14ac:dyDescent="0.3">
      <c r="A208" s="55">
        <v>110</v>
      </c>
      <c r="B208" s="55" t="s">
        <v>403</v>
      </c>
      <c r="C208" s="55" t="s">
        <v>386</v>
      </c>
      <c r="D208" s="56" t="s">
        <v>248</v>
      </c>
      <c r="E208" s="55" t="s">
        <v>404</v>
      </c>
      <c r="F208" s="57">
        <v>100</v>
      </c>
    </row>
    <row r="209" spans="1:6" ht="13.95" customHeight="1" x14ac:dyDescent="0.3">
      <c r="A209" s="48">
        <v>111</v>
      </c>
      <c r="B209" s="48" t="s">
        <v>428</v>
      </c>
      <c r="C209" s="48" t="s">
        <v>412</v>
      </c>
      <c r="D209" s="49" t="s">
        <v>248</v>
      </c>
      <c r="E209" s="48" t="s">
        <v>429</v>
      </c>
      <c r="F209" s="50">
        <v>704</v>
      </c>
    </row>
    <row r="210" spans="1:6" ht="13.95" customHeight="1" x14ac:dyDescent="0.3">
      <c r="A210" s="55">
        <v>112</v>
      </c>
      <c r="B210" s="55" t="s">
        <v>259</v>
      </c>
      <c r="C210" s="55" t="s">
        <v>208</v>
      </c>
      <c r="D210" s="56" t="s">
        <v>264</v>
      </c>
      <c r="E210" s="55" t="s">
        <v>265</v>
      </c>
      <c r="F210" s="57">
        <v>237.74</v>
      </c>
    </row>
    <row r="211" spans="1:6" ht="13.95" customHeight="1" x14ac:dyDescent="0.3">
      <c r="A211" s="68" t="s">
        <v>608</v>
      </c>
      <c r="B211" s="67"/>
      <c r="C211" s="67"/>
      <c r="D211" s="67"/>
      <c r="E211" s="67"/>
      <c r="F211" s="51">
        <v>7636.74</v>
      </c>
    </row>
    <row r="212" spans="1:6" ht="16.95" customHeight="1" x14ac:dyDescent="0.3">
      <c r="A212" s="69" t="s">
        <v>609</v>
      </c>
      <c r="B212" s="67"/>
      <c r="C212" s="67"/>
      <c r="D212" s="67"/>
      <c r="E212" s="67"/>
      <c r="F212" s="54">
        <v>4635.3500000000004</v>
      </c>
    </row>
    <row r="213" spans="1:6" ht="13.95" customHeight="1" x14ac:dyDescent="0.3">
      <c r="A213" s="55">
        <v>113</v>
      </c>
      <c r="B213" s="55" t="s">
        <v>369</v>
      </c>
      <c r="C213" s="55" t="s">
        <v>368</v>
      </c>
      <c r="D213" s="56" t="s">
        <v>248</v>
      </c>
      <c r="E213" s="55" t="s">
        <v>372</v>
      </c>
      <c r="F213" s="57">
        <v>220</v>
      </c>
    </row>
    <row r="214" spans="1:6" ht="13.95" customHeight="1" x14ac:dyDescent="0.3">
      <c r="A214" s="48">
        <v>114</v>
      </c>
      <c r="B214" s="48" t="s">
        <v>23</v>
      </c>
      <c r="C214" s="48" t="s">
        <v>18</v>
      </c>
      <c r="D214" s="49" t="s">
        <v>44</v>
      </c>
      <c r="E214" s="48" t="s">
        <v>46</v>
      </c>
      <c r="F214" s="50">
        <v>4415.3500000000004</v>
      </c>
    </row>
    <row r="215" spans="1:6" ht="13.95" customHeight="1" x14ac:dyDescent="0.3">
      <c r="A215" s="68" t="s">
        <v>610</v>
      </c>
      <c r="B215" s="67"/>
      <c r="C215" s="67"/>
      <c r="D215" s="67"/>
      <c r="E215" s="67"/>
      <c r="F215" s="51">
        <v>4635.3500000000004</v>
      </c>
    </row>
    <row r="216" spans="1:6" ht="16.95" customHeight="1" x14ac:dyDescent="0.3">
      <c r="A216" s="69" t="s">
        <v>611</v>
      </c>
      <c r="B216" s="67"/>
      <c r="C216" s="67"/>
      <c r="D216" s="67"/>
      <c r="E216" s="67"/>
      <c r="F216" s="54">
        <v>4455</v>
      </c>
    </row>
    <row r="217" spans="1:6" ht="13.95" customHeight="1" x14ac:dyDescent="0.3">
      <c r="A217" s="55">
        <v>115</v>
      </c>
      <c r="B217" s="55" t="s">
        <v>23</v>
      </c>
      <c r="C217" s="55" t="s">
        <v>18</v>
      </c>
      <c r="D217" s="56" t="s">
        <v>35</v>
      </c>
      <c r="E217" s="55" t="s">
        <v>37</v>
      </c>
      <c r="F217" s="57">
        <v>4455</v>
      </c>
    </row>
    <row r="218" spans="1:6" ht="13.95" customHeight="1" x14ac:dyDescent="0.3">
      <c r="A218" s="68" t="s">
        <v>612</v>
      </c>
      <c r="B218" s="67"/>
      <c r="C218" s="67"/>
      <c r="D218" s="67"/>
      <c r="E218" s="67"/>
      <c r="F218" s="51">
        <v>4455</v>
      </c>
    </row>
    <row r="219" spans="1:6" ht="16.95" customHeight="1" x14ac:dyDescent="0.3">
      <c r="A219" s="69" t="s">
        <v>613</v>
      </c>
      <c r="B219" s="67"/>
      <c r="C219" s="67"/>
      <c r="D219" s="67"/>
      <c r="E219" s="67"/>
      <c r="F219" s="54">
        <v>4104.2700000000004</v>
      </c>
    </row>
    <row r="220" spans="1:6" ht="13.95" customHeight="1" x14ac:dyDescent="0.3">
      <c r="A220" s="55">
        <v>116</v>
      </c>
      <c r="B220" s="55" t="s">
        <v>259</v>
      </c>
      <c r="C220" s="55" t="s">
        <v>208</v>
      </c>
      <c r="D220" s="56" t="s">
        <v>261</v>
      </c>
      <c r="E220" s="55" t="s">
        <v>262</v>
      </c>
      <c r="F220" s="57">
        <v>2000</v>
      </c>
    </row>
    <row r="221" spans="1:6" ht="13.95" customHeight="1" x14ac:dyDescent="0.3">
      <c r="A221" s="48">
        <v>117</v>
      </c>
      <c r="B221" s="48" t="s">
        <v>259</v>
      </c>
      <c r="C221" s="48" t="s">
        <v>208</v>
      </c>
      <c r="D221" s="49" t="s">
        <v>261</v>
      </c>
      <c r="E221" s="48" t="s">
        <v>263</v>
      </c>
      <c r="F221" s="50">
        <v>410.67</v>
      </c>
    </row>
    <row r="222" spans="1:6" ht="13.95" customHeight="1" x14ac:dyDescent="0.3">
      <c r="A222" s="55">
        <v>118</v>
      </c>
      <c r="B222" s="55" t="s">
        <v>200</v>
      </c>
      <c r="C222" s="55" t="s">
        <v>153</v>
      </c>
      <c r="D222" s="56" t="s">
        <v>201</v>
      </c>
      <c r="E222" s="55" t="s">
        <v>203</v>
      </c>
      <c r="F222" s="57">
        <v>1693.6</v>
      </c>
    </row>
    <row r="223" spans="1:6" ht="13.95" customHeight="1" x14ac:dyDescent="0.3">
      <c r="A223" s="68" t="s">
        <v>614</v>
      </c>
      <c r="B223" s="67"/>
      <c r="C223" s="67"/>
      <c r="D223" s="67"/>
      <c r="E223" s="67"/>
      <c r="F223" s="51">
        <v>4104.2700000000004</v>
      </c>
    </row>
    <row r="224" spans="1:6" ht="16.95" customHeight="1" x14ac:dyDescent="0.3">
      <c r="A224" s="69" t="s">
        <v>615</v>
      </c>
      <c r="B224" s="67"/>
      <c r="C224" s="67"/>
      <c r="D224" s="67"/>
      <c r="E224" s="67"/>
      <c r="F224" s="54">
        <v>2681</v>
      </c>
    </row>
    <row r="225" spans="1:6" ht="13.95" customHeight="1" x14ac:dyDescent="0.3">
      <c r="A225" s="55">
        <v>119</v>
      </c>
      <c r="B225" s="55" t="s">
        <v>157</v>
      </c>
      <c r="C225" s="55" t="s">
        <v>153</v>
      </c>
      <c r="D225" s="56" t="s">
        <v>87</v>
      </c>
      <c r="E225" s="55" t="s">
        <v>161</v>
      </c>
      <c r="F225" s="57">
        <v>2068</v>
      </c>
    </row>
    <row r="226" spans="1:6" ht="13.95" customHeight="1" x14ac:dyDescent="0.3">
      <c r="A226" s="48">
        <v>120</v>
      </c>
      <c r="B226" s="48" t="s">
        <v>81</v>
      </c>
      <c r="C226" s="48" t="s">
        <v>18</v>
      </c>
      <c r="D226" s="49" t="s">
        <v>87</v>
      </c>
      <c r="E226" s="48" t="s">
        <v>89</v>
      </c>
      <c r="F226" s="50">
        <v>373</v>
      </c>
    </row>
    <row r="227" spans="1:6" ht="13.95" customHeight="1" x14ac:dyDescent="0.3">
      <c r="A227" s="55">
        <v>121</v>
      </c>
      <c r="B227" s="55" t="s">
        <v>81</v>
      </c>
      <c r="C227" s="55" t="s">
        <v>18</v>
      </c>
      <c r="D227" s="56" t="s">
        <v>87</v>
      </c>
      <c r="E227" s="55" t="s">
        <v>90</v>
      </c>
      <c r="F227" s="57">
        <v>240</v>
      </c>
    </row>
    <row r="228" spans="1:6" ht="13.95" customHeight="1" x14ac:dyDescent="0.3">
      <c r="A228" s="68" t="s">
        <v>616</v>
      </c>
      <c r="B228" s="67"/>
      <c r="C228" s="67"/>
      <c r="D228" s="67"/>
      <c r="E228" s="67"/>
      <c r="F228" s="51">
        <v>2681</v>
      </c>
    </row>
    <row r="229" spans="1:6" ht="16.95" customHeight="1" x14ac:dyDescent="0.3">
      <c r="A229" s="69" t="s">
        <v>617</v>
      </c>
      <c r="B229" s="67"/>
      <c r="C229" s="67"/>
      <c r="D229" s="67"/>
      <c r="E229" s="67"/>
      <c r="F229" s="54">
        <v>2251.8000000000002</v>
      </c>
    </row>
    <row r="230" spans="1:6" ht="13.95" customHeight="1" x14ac:dyDescent="0.3">
      <c r="A230" s="55">
        <v>122</v>
      </c>
      <c r="B230" s="55" t="s">
        <v>168</v>
      </c>
      <c r="C230" s="55" t="s">
        <v>153</v>
      </c>
      <c r="D230" s="56" t="s">
        <v>169</v>
      </c>
      <c r="E230" s="55" t="s">
        <v>171</v>
      </c>
      <c r="F230" s="57">
        <v>823.8</v>
      </c>
    </row>
    <row r="231" spans="1:6" ht="13.95" customHeight="1" x14ac:dyDescent="0.3">
      <c r="A231" s="48">
        <v>123</v>
      </c>
      <c r="B231" s="48" t="s">
        <v>266</v>
      </c>
      <c r="C231" s="48" t="s">
        <v>208</v>
      </c>
      <c r="D231" s="49" t="s">
        <v>270</v>
      </c>
      <c r="E231" s="48" t="s">
        <v>271</v>
      </c>
      <c r="F231" s="50">
        <v>1428</v>
      </c>
    </row>
    <row r="232" spans="1:6" ht="13.95" customHeight="1" x14ac:dyDescent="0.3">
      <c r="A232" s="68" t="s">
        <v>618</v>
      </c>
      <c r="B232" s="67"/>
      <c r="C232" s="67"/>
      <c r="D232" s="67"/>
      <c r="E232" s="67"/>
      <c r="F232" s="51">
        <v>2251.8000000000002</v>
      </c>
    </row>
    <row r="233" spans="1:6" ht="16.95" customHeight="1" x14ac:dyDescent="0.3">
      <c r="A233" s="69" t="s">
        <v>619</v>
      </c>
      <c r="B233" s="67"/>
      <c r="C233" s="67"/>
      <c r="D233" s="67"/>
      <c r="E233" s="67"/>
      <c r="F233" s="54">
        <v>1738</v>
      </c>
    </row>
    <row r="234" spans="1:6" ht="13.95" customHeight="1" x14ac:dyDescent="0.3">
      <c r="A234" s="55">
        <v>124</v>
      </c>
      <c r="B234" s="55" t="s">
        <v>209</v>
      </c>
      <c r="C234" s="55" t="s">
        <v>208</v>
      </c>
      <c r="D234" s="56" t="s">
        <v>210</v>
      </c>
      <c r="E234" s="55" t="s">
        <v>211</v>
      </c>
      <c r="F234" s="57">
        <v>500</v>
      </c>
    </row>
    <row r="235" spans="1:6" ht="13.95" customHeight="1" x14ac:dyDescent="0.3">
      <c r="A235" s="48">
        <v>125</v>
      </c>
      <c r="B235" s="48" t="s">
        <v>242</v>
      </c>
      <c r="C235" s="48" t="s">
        <v>208</v>
      </c>
      <c r="D235" s="49" t="s">
        <v>245</v>
      </c>
      <c r="E235" s="48" t="s">
        <v>246</v>
      </c>
      <c r="F235" s="50">
        <v>100</v>
      </c>
    </row>
    <row r="236" spans="1:6" ht="13.95" customHeight="1" x14ac:dyDescent="0.3">
      <c r="A236" s="55">
        <v>126</v>
      </c>
      <c r="B236" s="55" t="s">
        <v>247</v>
      </c>
      <c r="C236" s="55" t="s">
        <v>208</v>
      </c>
      <c r="D236" s="56" t="s">
        <v>248</v>
      </c>
      <c r="E236" s="55" t="s">
        <v>249</v>
      </c>
      <c r="F236" s="57">
        <v>80</v>
      </c>
    </row>
    <row r="237" spans="1:6" ht="13.95" customHeight="1" x14ac:dyDescent="0.3">
      <c r="A237" s="48">
        <v>127</v>
      </c>
      <c r="B237" s="48" t="s">
        <v>288</v>
      </c>
      <c r="C237" s="48" t="s">
        <v>273</v>
      </c>
      <c r="D237" s="49" t="s">
        <v>289</v>
      </c>
      <c r="E237" s="48" t="s">
        <v>290</v>
      </c>
      <c r="F237" s="50">
        <v>328</v>
      </c>
    </row>
    <row r="238" spans="1:6" ht="13.95" customHeight="1" x14ac:dyDescent="0.3">
      <c r="A238" s="55">
        <v>128</v>
      </c>
      <c r="B238" s="55" t="s">
        <v>139</v>
      </c>
      <c r="C238" s="55" t="s">
        <v>124</v>
      </c>
      <c r="D238" s="56" t="s">
        <v>141</v>
      </c>
      <c r="E238" s="55" t="s">
        <v>143</v>
      </c>
      <c r="F238" s="57">
        <v>700</v>
      </c>
    </row>
    <row r="239" spans="1:6" ht="13.95" customHeight="1" x14ac:dyDescent="0.3">
      <c r="A239" s="48">
        <v>129</v>
      </c>
      <c r="B239" s="48" t="s">
        <v>150</v>
      </c>
      <c r="C239" s="48" t="s">
        <v>124</v>
      </c>
      <c r="D239" s="49" t="s">
        <v>141</v>
      </c>
      <c r="E239" s="48" t="s">
        <v>151</v>
      </c>
      <c r="F239" s="50">
        <v>30</v>
      </c>
    </row>
    <row r="240" spans="1:6" ht="13.95" customHeight="1" x14ac:dyDescent="0.3">
      <c r="A240" s="68" t="s">
        <v>620</v>
      </c>
      <c r="B240" s="67"/>
      <c r="C240" s="67"/>
      <c r="D240" s="67"/>
      <c r="E240" s="67"/>
      <c r="F240" s="51">
        <v>1738</v>
      </c>
    </row>
    <row r="241" spans="1:6" ht="16.95" customHeight="1" x14ac:dyDescent="0.3">
      <c r="A241" s="69" t="s">
        <v>621</v>
      </c>
      <c r="B241" s="67"/>
      <c r="C241" s="67"/>
      <c r="D241" s="67"/>
      <c r="E241" s="67"/>
      <c r="F241" s="54">
        <v>925.65</v>
      </c>
    </row>
    <row r="242" spans="1:6" ht="13.95" customHeight="1" x14ac:dyDescent="0.3">
      <c r="A242" s="55">
        <v>130</v>
      </c>
      <c r="B242" s="55" t="s">
        <v>23</v>
      </c>
      <c r="C242" s="55" t="s">
        <v>18</v>
      </c>
      <c r="D242" s="56" t="s">
        <v>49</v>
      </c>
      <c r="E242" s="55" t="s">
        <v>51</v>
      </c>
      <c r="F242" s="57">
        <v>925.65</v>
      </c>
    </row>
    <row r="243" spans="1:6" ht="13.95" customHeight="1" x14ac:dyDescent="0.3">
      <c r="A243" s="68" t="s">
        <v>622</v>
      </c>
      <c r="B243" s="67"/>
      <c r="C243" s="67"/>
      <c r="D243" s="67"/>
      <c r="E243" s="67"/>
      <c r="F243" s="51">
        <v>925.65</v>
      </c>
    </row>
    <row r="244" spans="1:6" ht="16.95" customHeight="1" x14ac:dyDescent="0.3">
      <c r="A244" s="69" t="s">
        <v>623</v>
      </c>
      <c r="B244" s="67"/>
      <c r="C244" s="67"/>
      <c r="D244" s="67"/>
      <c r="E244" s="67"/>
      <c r="F244" s="54">
        <v>790</v>
      </c>
    </row>
    <row r="245" spans="1:6" ht="13.95" customHeight="1" x14ac:dyDescent="0.3">
      <c r="A245" s="55">
        <v>131</v>
      </c>
      <c r="B245" s="55" t="s">
        <v>220</v>
      </c>
      <c r="C245" s="55" t="s">
        <v>208</v>
      </c>
      <c r="D245" s="56" t="s">
        <v>221</v>
      </c>
      <c r="E245" s="55" t="s">
        <v>223</v>
      </c>
      <c r="F245" s="57">
        <v>40</v>
      </c>
    </row>
    <row r="246" spans="1:6" ht="13.95" customHeight="1" x14ac:dyDescent="0.3">
      <c r="A246" s="48">
        <v>132</v>
      </c>
      <c r="B246" s="48" t="s">
        <v>266</v>
      </c>
      <c r="C246" s="48" t="s">
        <v>208</v>
      </c>
      <c r="D246" s="49" t="s">
        <v>221</v>
      </c>
      <c r="E246" s="48" t="s">
        <v>269</v>
      </c>
      <c r="F246" s="50">
        <v>750</v>
      </c>
    </row>
    <row r="247" spans="1:6" ht="13.95" customHeight="1" x14ac:dyDescent="0.3">
      <c r="A247" s="68" t="s">
        <v>624</v>
      </c>
      <c r="B247" s="67"/>
      <c r="C247" s="67"/>
      <c r="D247" s="67"/>
      <c r="E247" s="67"/>
      <c r="F247" s="51">
        <v>790</v>
      </c>
    </row>
    <row r="248" spans="1:6" ht="16.95" customHeight="1" x14ac:dyDescent="0.3">
      <c r="A248" s="69" t="s">
        <v>625</v>
      </c>
      <c r="B248" s="67"/>
      <c r="C248" s="67"/>
      <c r="D248" s="67"/>
      <c r="E248" s="67"/>
      <c r="F248" s="54">
        <v>675</v>
      </c>
    </row>
    <row r="249" spans="1:6" ht="13.95" customHeight="1" x14ac:dyDescent="0.3">
      <c r="A249" s="55">
        <v>133</v>
      </c>
      <c r="B249" s="55" t="s">
        <v>398</v>
      </c>
      <c r="C249" s="55" t="s">
        <v>386</v>
      </c>
      <c r="D249" s="56" t="s">
        <v>399</v>
      </c>
      <c r="E249" s="55" t="s">
        <v>401</v>
      </c>
      <c r="F249" s="57">
        <v>675</v>
      </c>
    </row>
    <row r="250" spans="1:6" ht="13.95" customHeight="1" x14ac:dyDescent="0.3">
      <c r="A250" s="68" t="s">
        <v>626</v>
      </c>
      <c r="B250" s="67"/>
      <c r="C250" s="67"/>
      <c r="D250" s="67"/>
      <c r="E250" s="67"/>
      <c r="F250" s="51">
        <v>675</v>
      </c>
    </row>
    <row r="251" spans="1:6" ht="16.95" customHeight="1" x14ac:dyDescent="0.3">
      <c r="A251" s="69" t="s">
        <v>627</v>
      </c>
      <c r="B251" s="67"/>
      <c r="C251" s="67"/>
      <c r="D251" s="67"/>
      <c r="E251" s="67"/>
      <c r="F251" s="54">
        <v>590</v>
      </c>
    </row>
    <row r="252" spans="1:6" ht="13.95" customHeight="1" x14ac:dyDescent="0.3">
      <c r="A252" s="55">
        <v>134</v>
      </c>
      <c r="B252" s="55" t="s">
        <v>358</v>
      </c>
      <c r="C252" s="55" t="s">
        <v>347</v>
      </c>
      <c r="D252" s="56" t="s">
        <v>359</v>
      </c>
      <c r="E252" s="55" t="s">
        <v>361</v>
      </c>
      <c r="F252" s="57">
        <v>590</v>
      </c>
    </row>
    <row r="253" spans="1:6" ht="13.95" customHeight="1" x14ac:dyDescent="0.3">
      <c r="A253" s="68" t="s">
        <v>628</v>
      </c>
      <c r="B253" s="67"/>
      <c r="C253" s="67"/>
      <c r="D253" s="67"/>
      <c r="E253" s="67"/>
      <c r="F253" s="51">
        <v>590</v>
      </c>
    </row>
    <row r="254" spans="1:6" ht="16.95" customHeight="1" x14ac:dyDescent="0.3">
      <c r="A254" s="69" t="s">
        <v>629</v>
      </c>
      <c r="B254" s="67"/>
      <c r="C254" s="67"/>
      <c r="D254" s="67"/>
      <c r="E254" s="67"/>
      <c r="F254" s="54">
        <v>546</v>
      </c>
    </row>
    <row r="255" spans="1:6" ht="13.95" customHeight="1" x14ac:dyDescent="0.3">
      <c r="A255" s="55">
        <v>135</v>
      </c>
      <c r="B255" s="55" t="s">
        <v>157</v>
      </c>
      <c r="C255" s="55" t="s">
        <v>153</v>
      </c>
      <c r="D255" s="56" t="s">
        <v>162</v>
      </c>
      <c r="E255" s="55" t="s">
        <v>164</v>
      </c>
      <c r="F255" s="57">
        <v>546</v>
      </c>
    </row>
    <row r="256" spans="1:6" ht="13.95" customHeight="1" x14ac:dyDescent="0.3">
      <c r="A256" s="68" t="s">
        <v>630</v>
      </c>
      <c r="B256" s="67"/>
      <c r="C256" s="67"/>
      <c r="D256" s="67"/>
      <c r="E256" s="67"/>
      <c r="F256" s="51">
        <v>546</v>
      </c>
    </row>
    <row r="257" spans="1:6" ht="16.95" customHeight="1" x14ac:dyDescent="0.3">
      <c r="A257" s="69" t="s">
        <v>631</v>
      </c>
      <c r="B257" s="67"/>
      <c r="C257" s="67"/>
      <c r="D257" s="67"/>
      <c r="E257" s="67"/>
      <c r="F257" s="54">
        <v>300</v>
      </c>
    </row>
    <row r="258" spans="1:6" ht="13.95" customHeight="1" x14ac:dyDescent="0.3">
      <c r="A258" s="55">
        <v>136</v>
      </c>
      <c r="B258" s="55" t="s">
        <v>194</v>
      </c>
      <c r="C258" s="55" t="s">
        <v>153</v>
      </c>
      <c r="D258" s="56" t="s">
        <v>197</v>
      </c>
      <c r="E258" s="55" t="s">
        <v>199</v>
      </c>
      <c r="F258" s="57">
        <v>300</v>
      </c>
    </row>
    <row r="259" spans="1:6" ht="13.95" customHeight="1" x14ac:dyDescent="0.3">
      <c r="A259" s="68" t="s">
        <v>632</v>
      </c>
      <c r="B259" s="67"/>
      <c r="C259" s="67"/>
      <c r="D259" s="67"/>
      <c r="E259" s="67"/>
      <c r="F259" s="51">
        <v>300</v>
      </c>
    </row>
    <row r="260" spans="1:6" ht="16.95" customHeight="1" x14ac:dyDescent="0.3">
      <c r="A260" s="69" t="s">
        <v>633</v>
      </c>
      <c r="B260" s="67"/>
      <c r="C260" s="67"/>
      <c r="D260" s="67"/>
      <c r="E260" s="67"/>
      <c r="F260" s="54">
        <v>200</v>
      </c>
    </row>
    <row r="261" spans="1:6" ht="13.95" customHeight="1" x14ac:dyDescent="0.3">
      <c r="A261" s="55">
        <v>137</v>
      </c>
      <c r="B261" s="55" t="s">
        <v>250</v>
      </c>
      <c r="C261" s="55" t="s">
        <v>208</v>
      </c>
      <c r="D261" s="56" t="s">
        <v>251</v>
      </c>
      <c r="E261" s="55" t="s">
        <v>253</v>
      </c>
      <c r="F261" s="57">
        <v>200</v>
      </c>
    </row>
    <row r="262" spans="1:6" ht="13.95" customHeight="1" x14ac:dyDescent="0.3">
      <c r="A262" s="68" t="s">
        <v>634</v>
      </c>
      <c r="B262" s="67"/>
      <c r="C262" s="67"/>
      <c r="D262" s="67"/>
      <c r="E262" s="67"/>
      <c r="F262" s="51">
        <v>200</v>
      </c>
    </row>
    <row r="263" spans="1:6" ht="16.95" customHeight="1" x14ac:dyDescent="0.3">
      <c r="A263" s="69" t="s">
        <v>635</v>
      </c>
      <c r="B263" s="67"/>
      <c r="C263" s="67"/>
      <c r="D263" s="67"/>
      <c r="E263" s="67"/>
      <c r="F263" s="54">
        <v>159</v>
      </c>
    </row>
    <row r="264" spans="1:6" ht="13.95" customHeight="1" x14ac:dyDescent="0.3">
      <c r="A264" s="55">
        <v>138</v>
      </c>
      <c r="B264" s="55" t="s">
        <v>23</v>
      </c>
      <c r="C264" s="55" t="s">
        <v>18</v>
      </c>
      <c r="D264" s="56" t="s">
        <v>40</v>
      </c>
      <c r="E264" s="55" t="s">
        <v>42</v>
      </c>
      <c r="F264" s="57">
        <v>159</v>
      </c>
    </row>
    <row r="265" spans="1:6" ht="13.95" customHeight="1" x14ac:dyDescent="0.3">
      <c r="A265" s="68" t="s">
        <v>636</v>
      </c>
      <c r="B265" s="67"/>
      <c r="C265" s="67"/>
      <c r="D265" s="67"/>
      <c r="E265" s="67"/>
      <c r="F265" s="51">
        <v>159</v>
      </c>
    </row>
    <row r="266" spans="1:6" ht="16.95" customHeight="1" x14ac:dyDescent="0.3">
      <c r="A266" s="69" t="s">
        <v>637</v>
      </c>
      <c r="B266" s="67"/>
      <c r="C266" s="67"/>
      <c r="D266" s="67"/>
      <c r="E266" s="67"/>
      <c r="F266" s="54">
        <v>127.2</v>
      </c>
    </row>
    <row r="267" spans="1:6" ht="13.95" customHeight="1" x14ac:dyDescent="0.3">
      <c r="A267" s="55">
        <v>139</v>
      </c>
      <c r="B267" s="55" t="s">
        <v>66</v>
      </c>
      <c r="C267" s="55" t="s">
        <v>18</v>
      </c>
      <c r="D267" s="56" t="s">
        <v>67</v>
      </c>
      <c r="E267" s="55" t="s">
        <v>69</v>
      </c>
      <c r="F267" s="57">
        <v>5.3</v>
      </c>
    </row>
    <row r="268" spans="1:6" ht="13.95" customHeight="1" x14ac:dyDescent="0.3">
      <c r="A268" s="48">
        <v>140</v>
      </c>
      <c r="B268" s="48" t="s">
        <v>114</v>
      </c>
      <c r="C268" s="48" t="s">
        <v>98</v>
      </c>
      <c r="D268" s="49" t="s">
        <v>67</v>
      </c>
      <c r="E268" s="48" t="s">
        <v>69</v>
      </c>
      <c r="F268" s="50">
        <v>5.3</v>
      </c>
    </row>
    <row r="269" spans="1:6" ht="13.95" customHeight="1" x14ac:dyDescent="0.3">
      <c r="A269" s="55">
        <v>141</v>
      </c>
      <c r="B269" s="55" t="s">
        <v>138</v>
      </c>
      <c r="C269" s="55" t="s">
        <v>124</v>
      </c>
      <c r="D269" s="56" t="s">
        <v>67</v>
      </c>
      <c r="E269" s="55" t="s">
        <v>69</v>
      </c>
      <c r="F269" s="57">
        <v>5.3</v>
      </c>
    </row>
    <row r="270" spans="1:6" ht="13.95" customHeight="1" x14ac:dyDescent="0.3">
      <c r="A270" s="48">
        <v>142</v>
      </c>
      <c r="B270" s="48" t="s">
        <v>184</v>
      </c>
      <c r="C270" s="48" t="s">
        <v>153</v>
      </c>
      <c r="D270" s="49" t="s">
        <v>67</v>
      </c>
      <c r="E270" s="48" t="s">
        <v>69</v>
      </c>
      <c r="F270" s="50">
        <v>5.3</v>
      </c>
    </row>
    <row r="271" spans="1:6" ht="13.95" customHeight="1" x14ac:dyDescent="0.3">
      <c r="A271" s="55">
        <v>143</v>
      </c>
      <c r="B271" s="55" t="s">
        <v>241</v>
      </c>
      <c r="C271" s="55" t="s">
        <v>208</v>
      </c>
      <c r="D271" s="56" t="s">
        <v>67</v>
      </c>
      <c r="E271" s="55" t="s">
        <v>69</v>
      </c>
      <c r="F271" s="57">
        <v>5.3</v>
      </c>
    </row>
    <row r="272" spans="1:6" ht="13.95" customHeight="1" x14ac:dyDescent="0.3">
      <c r="A272" s="48">
        <v>144</v>
      </c>
      <c r="B272" s="48" t="s">
        <v>287</v>
      </c>
      <c r="C272" s="48" t="s">
        <v>273</v>
      </c>
      <c r="D272" s="49" t="s">
        <v>67</v>
      </c>
      <c r="E272" s="48" t="s">
        <v>69</v>
      </c>
      <c r="F272" s="50">
        <v>5.3</v>
      </c>
    </row>
    <row r="273" spans="1:6" ht="13.95" customHeight="1" x14ac:dyDescent="0.3">
      <c r="A273" s="55">
        <v>145</v>
      </c>
      <c r="B273" s="55" t="s">
        <v>322</v>
      </c>
      <c r="C273" s="55" t="s">
        <v>296</v>
      </c>
      <c r="D273" s="56" t="s">
        <v>67</v>
      </c>
      <c r="E273" s="55" t="s">
        <v>69</v>
      </c>
      <c r="F273" s="57">
        <v>5.3</v>
      </c>
    </row>
    <row r="274" spans="1:6" ht="13.95" customHeight="1" x14ac:dyDescent="0.3">
      <c r="A274" s="48">
        <v>146</v>
      </c>
      <c r="B274" s="48" t="s">
        <v>341</v>
      </c>
      <c r="C274" s="48" t="s">
        <v>329</v>
      </c>
      <c r="D274" s="49" t="s">
        <v>67</v>
      </c>
      <c r="E274" s="48" t="s">
        <v>69</v>
      </c>
      <c r="F274" s="50">
        <v>5.3</v>
      </c>
    </row>
    <row r="275" spans="1:6" ht="13.95" customHeight="1" x14ac:dyDescent="0.3">
      <c r="A275" s="55">
        <v>147</v>
      </c>
      <c r="B275" s="55" t="s">
        <v>362</v>
      </c>
      <c r="C275" s="55" t="s">
        <v>347</v>
      </c>
      <c r="D275" s="56" t="s">
        <v>67</v>
      </c>
      <c r="E275" s="55" t="s">
        <v>69</v>
      </c>
      <c r="F275" s="57">
        <v>5.3</v>
      </c>
    </row>
    <row r="276" spans="1:6" ht="13.95" customHeight="1" x14ac:dyDescent="0.3">
      <c r="A276" s="48">
        <v>148</v>
      </c>
      <c r="B276" s="48" t="s">
        <v>380</v>
      </c>
      <c r="C276" s="48" t="s">
        <v>368</v>
      </c>
      <c r="D276" s="49" t="s">
        <v>67</v>
      </c>
      <c r="E276" s="48" t="s">
        <v>69</v>
      </c>
      <c r="F276" s="50">
        <v>5.3</v>
      </c>
    </row>
    <row r="277" spans="1:6" ht="13.95" customHeight="1" x14ac:dyDescent="0.3">
      <c r="A277" s="55">
        <v>149</v>
      </c>
      <c r="B277" s="55" t="s">
        <v>405</v>
      </c>
      <c r="C277" s="55" t="s">
        <v>386</v>
      </c>
      <c r="D277" s="56" t="s">
        <v>67</v>
      </c>
      <c r="E277" s="55" t="s">
        <v>69</v>
      </c>
      <c r="F277" s="57">
        <v>5.3</v>
      </c>
    </row>
    <row r="278" spans="1:6" ht="13.95" customHeight="1" x14ac:dyDescent="0.3">
      <c r="A278" s="48">
        <v>150</v>
      </c>
      <c r="B278" s="48" t="s">
        <v>427</v>
      </c>
      <c r="C278" s="48" t="s">
        <v>412</v>
      </c>
      <c r="D278" s="49" t="s">
        <v>67</v>
      </c>
      <c r="E278" s="48" t="s">
        <v>69</v>
      </c>
      <c r="F278" s="50">
        <v>5.3</v>
      </c>
    </row>
    <row r="279" spans="1:6" ht="13.95" customHeight="1" x14ac:dyDescent="0.3">
      <c r="A279" s="55">
        <v>151</v>
      </c>
      <c r="B279" s="55" t="s">
        <v>96</v>
      </c>
      <c r="C279" s="55" t="s">
        <v>18</v>
      </c>
      <c r="D279" s="56" t="s">
        <v>67</v>
      </c>
      <c r="E279" s="55" t="s">
        <v>69</v>
      </c>
      <c r="F279" s="57">
        <v>5.3</v>
      </c>
    </row>
    <row r="280" spans="1:6" ht="13.95" customHeight="1" x14ac:dyDescent="0.3">
      <c r="A280" s="48">
        <v>152</v>
      </c>
      <c r="B280" s="48" t="s">
        <v>122</v>
      </c>
      <c r="C280" s="48" t="s">
        <v>98</v>
      </c>
      <c r="D280" s="49" t="s">
        <v>67</v>
      </c>
      <c r="E280" s="48" t="s">
        <v>69</v>
      </c>
      <c r="F280" s="50">
        <v>5.3</v>
      </c>
    </row>
    <row r="281" spans="1:6" ht="13.95" customHeight="1" x14ac:dyDescent="0.3">
      <c r="A281" s="55">
        <v>153</v>
      </c>
      <c r="B281" s="55" t="s">
        <v>150</v>
      </c>
      <c r="C281" s="55" t="s">
        <v>124</v>
      </c>
      <c r="D281" s="56" t="s">
        <v>67</v>
      </c>
      <c r="E281" s="55" t="s">
        <v>69</v>
      </c>
      <c r="F281" s="57">
        <v>5.3</v>
      </c>
    </row>
    <row r="282" spans="1:6" ht="13.95" customHeight="1" x14ac:dyDescent="0.3">
      <c r="A282" s="48">
        <v>154</v>
      </c>
      <c r="B282" s="48" t="s">
        <v>194</v>
      </c>
      <c r="C282" s="48" t="s">
        <v>153</v>
      </c>
      <c r="D282" s="49" t="s">
        <v>67</v>
      </c>
      <c r="E282" s="48" t="s">
        <v>69</v>
      </c>
      <c r="F282" s="50">
        <v>5.3</v>
      </c>
    </row>
    <row r="283" spans="1:6" ht="13.95" customHeight="1" x14ac:dyDescent="0.3">
      <c r="A283" s="55">
        <v>155</v>
      </c>
      <c r="B283" s="55" t="s">
        <v>259</v>
      </c>
      <c r="C283" s="55" t="s">
        <v>208</v>
      </c>
      <c r="D283" s="56" t="s">
        <v>67</v>
      </c>
      <c r="E283" s="55" t="s">
        <v>69</v>
      </c>
      <c r="F283" s="57">
        <v>5.3</v>
      </c>
    </row>
    <row r="284" spans="1:6" ht="13.95" customHeight="1" x14ac:dyDescent="0.3">
      <c r="A284" s="48">
        <v>156</v>
      </c>
      <c r="B284" s="48" t="s">
        <v>291</v>
      </c>
      <c r="C284" s="48" t="s">
        <v>273</v>
      </c>
      <c r="D284" s="49" t="s">
        <v>67</v>
      </c>
      <c r="E284" s="48" t="s">
        <v>69</v>
      </c>
      <c r="F284" s="50">
        <v>5.3</v>
      </c>
    </row>
    <row r="285" spans="1:6" ht="13.95" customHeight="1" x14ac:dyDescent="0.3">
      <c r="A285" s="55">
        <v>157</v>
      </c>
      <c r="B285" s="55" t="s">
        <v>325</v>
      </c>
      <c r="C285" s="55" t="s">
        <v>296</v>
      </c>
      <c r="D285" s="56" t="s">
        <v>67</v>
      </c>
      <c r="E285" s="55" t="s">
        <v>69</v>
      </c>
      <c r="F285" s="57">
        <v>5.3</v>
      </c>
    </row>
    <row r="286" spans="1:6" ht="13.95" customHeight="1" x14ac:dyDescent="0.3">
      <c r="A286" s="48">
        <v>158</v>
      </c>
      <c r="B286" s="48" t="s">
        <v>342</v>
      </c>
      <c r="C286" s="48" t="s">
        <v>329</v>
      </c>
      <c r="D286" s="49" t="s">
        <v>67</v>
      </c>
      <c r="E286" s="48" t="s">
        <v>69</v>
      </c>
      <c r="F286" s="50">
        <v>5.3</v>
      </c>
    </row>
    <row r="287" spans="1:6" ht="13.95" customHeight="1" x14ac:dyDescent="0.3">
      <c r="A287" s="55">
        <v>159</v>
      </c>
      <c r="B287" s="55" t="s">
        <v>364</v>
      </c>
      <c r="C287" s="55" t="s">
        <v>347</v>
      </c>
      <c r="D287" s="56" t="s">
        <v>67</v>
      </c>
      <c r="E287" s="55" t="s">
        <v>69</v>
      </c>
      <c r="F287" s="57">
        <v>5.3</v>
      </c>
    </row>
    <row r="288" spans="1:6" ht="13.95" customHeight="1" x14ac:dyDescent="0.3">
      <c r="A288" s="48">
        <v>160</v>
      </c>
      <c r="B288" s="48" t="s">
        <v>383</v>
      </c>
      <c r="C288" s="48" t="s">
        <v>368</v>
      </c>
      <c r="D288" s="49" t="s">
        <v>67</v>
      </c>
      <c r="E288" s="48" t="s">
        <v>69</v>
      </c>
      <c r="F288" s="50">
        <v>5.3</v>
      </c>
    </row>
    <row r="289" spans="1:6" ht="13.95" customHeight="1" x14ac:dyDescent="0.3">
      <c r="A289" s="55">
        <v>161</v>
      </c>
      <c r="B289" s="55" t="s">
        <v>408</v>
      </c>
      <c r="C289" s="55" t="s">
        <v>386</v>
      </c>
      <c r="D289" s="56" t="s">
        <v>67</v>
      </c>
      <c r="E289" s="55" t="s">
        <v>69</v>
      </c>
      <c r="F289" s="57">
        <v>5.3</v>
      </c>
    </row>
    <row r="290" spans="1:6" ht="13.95" customHeight="1" x14ac:dyDescent="0.3">
      <c r="A290" s="48">
        <v>162</v>
      </c>
      <c r="B290" s="48" t="s">
        <v>430</v>
      </c>
      <c r="C290" s="48" t="s">
        <v>412</v>
      </c>
      <c r="D290" s="49" t="s">
        <v>67</v>
      </c>
      <c r="E290" s="48" t="s">
        <v>69</v>
      </c>
      <c r="F290" s="50">
        <v>5.3</v>
      </c>
    </row>
    <row r="291" spans="1:6" ht="13.95" customHeight="1" x14ac:dyDescent="0.3">
      <c r="A291" s="68" t="s">
        <v>638</v>
      </c>
      <c r="B291" s="67"/>
      <c r="C291" s="67"/>
      <c r="D291" s="67"/>
      <c r="E291" s="67"/>
      <c r="F291" s="51">
        <v>127.2</v>
      </c>
    </row>
    <row r="293" spans="1:6" ht="18" customHeight="1" x14ac:dyDescent="0.3">
      <c r="A293" s="66" t="s">
        <v>639</v>
      </c>
      <c r="B293" s="67"/>
      <c r="C293" s="67"/>
      <c r="D293" s="67"/>
      <c r="E293" s="67"/>
      <c r="F293" s="52">
        <v>441294.01</v>
      </c>
    </row>
  </sheetData>
  <mergeCells count="68">
    <mergeCell ref="A293:E293"/>
    <mergeCell ref="A211:E211"/>
    <mergeCell ref="A229:E229"/>
    <mergeCell ref="A67:E67"/>
    <mergeCell ref="A262:E262"/>
    <mergeCell ref="A265:E265"/>
    <mergeCell ref="A1:F1"/>
    <mergeCell ref="A19:E19"/>
    <mergeCell ref="A63:E63"/>
    <mergeCell ref="A253:E253"/>
    <mergeCell ref="A200:E200"/>
    <mergeCell ref="A224:E224"/>
    <mergeCell ref="A62:E62"/>
    <mergeCell ref="A240:E240"/>
    <mergeCell ref="A2:F2"/>
    <mergeCell ref="A69:E69"/>
    <mergeCell ref="A218:E218"/>
    <mergeCell ref="A256:E256"/>
    <mergeCell ref="A205:E205"/>
    <mergeCell ref="A41:E41"/>
    <mergeCell ref="A174:E174"/>
    <mergeCell ref="A193:E193"/>
    <mergeCell ref="A212:E212"/>
    <mergeCell ref="A243:E243"/>
    <mergeCell ref="A75:E75"/>
    <mergeCell ref="A4:F4"/>
    <mergeCell ref="A66:E66"/>
    <mergeCell ref="A198:E198"/>
    <mergeCell ref="A149:E149"/>
    <mergeCell ref="A233:E233"/>
    <mergeCell ref="A291:E291"/>
    <mergeCell ref="A6:E6"/>
    <mergeCell ref="A250:E250"/>
    <mergeCell ref="A197:E197"/>
    <mergeCell ref="A70:E70"/>
    <mergeCell ref="A228:E228"/>
    <mergeCell ref="A241:E241"/>
    <mergeCell ref="A18:E18"/>
    <mergeCell ref="A189:E189"/>
    <mergeCell ref="A136:E136"/>
    <mergeCell ref="A192:E192"/>
    <mergeCell ref="A223:E223"/>
    <mergeCell ref="A204:E204"/>
    <mergeCell ref="A248:E248"/>
    <mergeCell ref="A42:E42"/>
    <mergeCell ref="A175:E175"/>
    <mergeCell ref="A266:E266"/>
    <mergeCell ref="A82:E82"/>
    <mergeCell ref="A80:F80"/>
    <mergeCell ref="A60:E60"/>
    <mergeCell ref="A257:E257"/>
    <mergeCell ref="A260:E260"/>
    <mergeCell ref="A216:E216"/>
    <mergeCell ref="A247:E247"/>
    <mergeCell ref="A251:E251"/>
    <mergeCell ref="A254:E254"/>
    <mergeCell ref="A135:E135"/>
    <mergeCell ref="A188:E188"/>
    <mergeCell ref="A219:E219"/>
    <mergeCell ref="A244:E244"/>
    <mergeCell ref="A259:E259"/>
    <mergeCell ref="A263:E263"/>
    <mergeCell ref="A77:E77"/>
    <mergeCell ref="A148:E148"/>
    <mergeCell ref="A59:E59"/>
    <mergeCell ref="A232:E232"/>
    <mergeCell ref="A201:E201"/>
    <mergeCell ref="A215:E21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6fadc8-6b43-402b-8735-feb0dc56fbe4">
      <Terms xmlns="http://schemas.microsoft.com/office/infopath/2007/PartnerControls"/>
    </lcf76f155ced4ddcb4097134ff3c332f>
    <TaxCatchAll xmlns="5464dfa6-8e13-4a69-a9f8-bb9dbd76f1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261F45DF9D484F8BE458A29768DA56" ma:contentTypeVersion="13" ma:contentTypeDescription="Create a new document." ma:contentTypeScope="" ma:versionID="eb3255b27bcd6d0c8c82a4ec1542d342">
  <xsd:schema xmlns:xsd="http://www.w3.org/2001/XMLSchema" xmlns:xs="http://www.w3.org/2001/XMLSchema" xmlns:p="http://schemas.microsoft.com/office/2006/metadata/properties" xmlns:ns2="946fadc8-6b43-402b-8735-feb0dc56fbe4" xmlns:ns3="5464dfa6-8e13-4a69-a9f8-bb9dbd76f1f5" targetNamespace="http://schemas.microsoft.com/office/2006/metadata/properties" ma:root="true" ma:fieldsID="80e9bb404ac1c7ba087a3928536352e1" ns2:_="" ns3:_="">
    <xsd:import namespace="946fadc8-6b43-402b-8735-feb0dc56fbe4"/>
    <xsd:import namespace="5464dfa6-8e13-4a69-a9f8-bb9dbd76f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fadc8-6b43-402b-8735-feb0dc56f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f2b2ad-ae1c-4c10-b005-0f15b9fc9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4dfa6-8e13-4a69-a9f8-bb9dbd76f1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5789f9-cc2c-4145-862e-8a25b4d4b94a}" ma:internalName="TaxCatchAll" ma:showField="CatchAllData" ma:web="5464dfa6-8e13-4a69-a9f8-bb9dbd76f1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CEF0C-82BE-4E49-9EF1-37CF1B2DBE7D}">
  <ds:schemaRefs>
    <ds:schemaRef ds:uri="http://schemas.microsoft.com/office/2006/metadata/properties"/>
    <ds:schemaRef ds:uri="http://schemas.microsoft.com/office/infopath/2007/PartnerControls"/>
    <ds:schemaRef ds:uri="946fadc8-6b43-402b-8735-feb0dc56fbe4"/>
    <ds:schemaRef ds:uri="5464dfa6-8e13-4a69-a9f8-bb9dbd76f1f5"/>
  </ds:schemaRefs>
</ds:datastoreItem>
</file>

<file path=customXml/itemProps2.xml><?xml version="1.0" encoding="utf-8"?>
<ds:datastoreItem xmlns:ds="http://schemas.openxmlformats.org/officeDocument/2006/customXml" ds:itemID="{0E5B4141-9BCE-46C3-9011-E7023819E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3DA50-1FE8-4BFD-B9BA-E97F343D4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6fadc8-6b43-402b-8735-feb0dc56fbe4"/>
    <ds:schemaRef ds:uri="5464dfa6-8e13-4a69-a9f8-bb9dbd76f1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Ledger</vt:lpstr>
      <vt:lpstr>Monthly PL</vt:lpstr>
      <vt:lpstr>Chart of Accounts</vt:lpstr>
      <vt:lpstr>Supporting Docs</vt:lpstr>
      <vt:lpstr>By Payee &amp; Buyer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Prist Chin</cp:lastModifiedBy>
  <dcterms:created xsi:type="dcterms:W3CDTF">2026-05-18T08:23:48Z</dcterms:created>
  <dcterms:modified xsi:type="dcterms:W3CDTF">2026-05-23T15:05:15Z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0x01010025261F45DF9D484F8BE458A29768DA56</vt:lpwstr>
  </property>
  <property fmtid="{D5CDD505-2E9C-101B-9397-08002B2CF9AE}" pid="3" name="MediaServiceImageTags">
    <vt:lpwstr/>
  </property>
</Properties>
</file>